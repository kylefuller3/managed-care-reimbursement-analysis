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ylefuller/Documents/"/>
    </mc:Choice>
  </mc:AlternateContent>
  <xr:revisionPtr revIDLastSave="0" documentId="13_ncr:1_{507F7D00-AB42-DF4A-B25A-F1BE42B00F1E}" xr6:coauthVersionLast="47" xr6:coauthVersionMax="47" xr10:uidLastSave="{00000000-0000-0000-0000-000000000000}"/>
  <bookViews>
    <workbookView xWindow="20" yWindow="660" windowWidth="29400" windowHeight="18460" tabRatio="500" activeTab="4" xr2:uid="{00000000-000D-0000-FFFF-FFFF00000000}"/>
  </bookViews>
  <sheets>
    <sheet name="1 - Executive Summary" sheetId="5" r:id="rId1"/>
    <sheet name="2 - Raw Claims Data" sheetId="1" r:id="rId2"/>
    <sheet name="3 - Payer Analysis" sheetId="2" r:id="rId3"/>
    <sheet name="4 - Service Line Analysis" sheetId="3" r:id="rId4"/>
    <sheet name="5 - Scenario Analysis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4" l="1"/>
  <c r="E19" i="4"/>
  <c r="G19" i="4" s="1"/>
  <c r="D19" i="4"/>
  <c r="C19" i="4"/>
  <c r="B19" i="4"/>
  <c r="F18" i="4"/>
  <c r="E18" i="4"/>
  <c r="G18" i="4" s="1"/>
  <c r="D18" i="4"/>
  <c r="C18" i="4"/>
  <c r="B18" i="4"/>
  <c r="F17" i="4"/>
  <c r="E17" i="4"/>
  <c r="G17" i="4" s="1"/>
  <c r="D17" i="4"/>
  <c r="C17" i="4"/>
  <c r="B17" i="4"/>
  <c r="F16" i="4"/>
  <c r="E16" i="4"/>
  <c r="D16" i="4"/>
  <c r="C16" i="4"/>
  <c r="B16" i="4"/>
  <c r="G16" i="4" s="1"/>
  <c r="F15" i="4"/>
  <c r="E15" i="4"/>
  <c r="G15" i="4" s="1"/>
  <c r="D15" i="4"/>
  <c r="C15" i="4"/>
  <c r="B15" i="4"/>
  <c r="F14" i="4"/>
  <c r="E14" i="4"/>
  <c r="G14" i="4" s="1"/>
  <c r="D14" i="4"/>
  <c r="C14" i="4"/>
  <c r="B14" i="4"/>
  <c r="F13" i="4"/>
  <c r="F20" i="4" s="1"/>
  <c r="E13" i="4"/>
  <c r="E20" i="4" s="1"/>
  <c r="G20" i="4" s="1"/>
  <c r="D13" i="4"/>
  <c r="D20" i="4" s="1"/>
  <c r="C13" i="4"/>
  <c r="B13" i="4"/>
  <c r="B20" i="4" s="1"/>
  <c r="G10" i="3"/>
  <c r="E10" i="3"/>
  <c r="F10" i="3" s="1"/>
  <c r="D10" i="3"/>
  <c r="C10" i="3"/>
  <c r="G9" i="3"/>
  <c r="F9" i="3"/>
  <c r="E9" i="3"/>
  <c r="D9" i="3"/>
  <c r="C9" i="3"/>
  <c r="G8" i="3"/>
  <c r="E8" i="3"/>
  <c r="F8" i="3" s="1"/>
  <c r="D8" i="3"/>
  <c r="C8" i="3"/>
  <c r="G7" i="3"/>
  <c r="F7" i="3"/>
  <c r="E7" i="3"/>
  <c r="D7" i="3"/>
  <c r="C7" i="3"/>
  <c r="G6" i="3"/>
  <c r="G11" i="3" s="1"/>
  <c r="E6" i="3"/>
  <c r="F6" i="3" s="1"/>
  <c r="D6" i="3"/>
  <c r="C6" i="3"/>
  <c r="G5" i="3"/>
  <c r="E5" i="3"/>
  <c r="F5" i="3" s="1"/>
  <c r="D5" i="3"/>
  <c r="D11" i="3" s="1"/>
  <c r="C5" i="3"/>
  <c r="G4" i="3"/>
  <c r="E4" i="3"/>
  <c r="E11" i="3" s="1"/>
  <c r="F11" i="3" s="1"/>
  <c r="D4" i="3"/>
  <c r="C4" i="3"/>
  <c r="C11" i="3" s="1"/>
  <c r="G9" i="2"/>
  <c r="F9" i="2"/>
  <c r="D9" i="2"/>
  <c r="C9" i="2"/>
  <c r="E9" i="2" s="1"/>
  <c r="B9" i="2"/>
  <c r="H9" i="2" s="1"/>
  <c r="G8" i="2"/>
  <c r="F8" i="2"/>
  <c r="E8" i="2"/>
  <c r="D8" i="2"/>
  <c r="C8" i="2"/>
  <c r="H8" i="2" s="1"/>
  <c r="B8" i="2"/>
  <c r="H7" i="2"/>
  <c r="G7" i="2"/>
  <c r="F7" i="2"/>
  <c r="D7" i="2"/>
  <c r="E7" i="2" s="1"/>
  <c r="C7" i="2"/>
  <c r="B7" i="2"/>
  <c r="G6" i="2"/>
  <c r="F6" i="2"/>
  <c r="D6" i="2"/>
  <c r="C6" i="2"/>
  <c r="H6" i="2" s="1"/>
  <c r="B6" i="2"/>
  <c r="G5" i="2"/>
  <c r="F5" i="2"/>
  <c r="D5" i="2"/>
  <c r="C5" i="2"/>
  <c r="H5" i="2" s="1"/>
  <c r="B5" i="2"/>
  <c r="G4" i="2"/>
  <c r="G10" i="2" s="1"/>
  <c r="F4" i="2"/>
  <c r="F10" i="2" s="1"/>
  <c r="E4" i="2"/>
  <c r="D4" i="2"/>
  <c r="D10" i="2" s="1"/>
  <c r="C4" i="2"/>
  <c r="H4" i="2" s="1"/>
  <c r="B4" i="2"/>
  <c r="B10" i="2" s="1"/>
  <c r="J339" i="1"/>
  <c r="I339" i="1"/>
  <c r="H339" i="1"/>
  <c r="G339" i="1"/>
  <c r="F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339" i="1" s="1"/>
  <c r="C20" i="4" l="1"/>
  <c r="E6" i="2"/>
  <c r="E5" i="2"/>
  <c r="E10" i="2" s="1"/>
  <c r="C10" i="2"/>
  <c r="H10" i="2" s="1"/>
  <c r="F4" i="3"/>
  <c r="G13" i="4"/>
</calcChain>
</file>

<file path=xl/sharedStrings.xml><?xml version="1.0" encoding="utf-8"?>
<sst xmlns="http://schemas.openxmlformats.org/spreadsheetml/2006/main" count="1821" uniqueCount="458">
  <si>
    <t>AdventHealth — Managed Care Claims Dataset  |  Medical Economics Analyst Project  |  Kyle Fuller</t>
  </si>
  <si>
    <t>Claim ID</t>
  </si>
  <si>
    <t>Period</t>
  </si>
  <si>
    <t>Payer</t>
  </si>
  <si>
    <t>Service Line</t>
  </si>
  <si>
    <t>Reimb. Method</t>
  </si>
  <si>
    <t>Billed Charges ($)</t>
  </si>
  <si>
    <t>Reimbursement Received ($)</t>
  </si>
  <si>
    <t>Expected Reimbursement ($)</t>
  </si>
  <si>
    <t>Denial Rate (%)</t>
  </si>
  <si>
    <t>Utilization (Cases)</t>
  </si>
  <si>
    <t>Net Variance ($)</t>
  </si>
  <si>
    <t>CLM-1001</t>
  </si>
  <si>
    <t>Q1 2023</t>
  </si>
  <si>
    <t>United Healthcare</t>
  </si>
  <si>
    <t>Orthopedics</t>
  </si>
  <si>
    <t>DRG</t>
  </si>
  <si>
    <t>CLM-1002</t>
  </si>
  <si>
    <t>Aetna</t>
  </si>
  <si>
    <t>CLM-1003</t>
  </si>
  <si>
    <t>Florida Blue</t>
  </si>
  <si>
    <t>CLM-1004</t>
  </si>
  <si>
    <t>Medicare</t>
  </si>
  <si>
    <t>CLM-1005</t>
  </si>
  <si>
    <t>Medicaid</t>
  </si>
  <si>
    <t>CLM-1006</t>
  </si>
  <si>
    <t>Humana</t>
  </si>
  <si>
    <t>CLM-1007</t>
  </si>
  <si>
    <t>Cardiology</t>
  </si>
  <si>
    <t>CLM-1008</t>
  </si>
  <si>
    <t>CLM-1009</t>
  </si>
  <si>
    <t>CLM-1010</t>
  </si>
  <si>
    <t>CLM-1011</t>
  </si>
  <si>
    <t>CLM-1012</t>
  </si>
  <si>
    <t>CLM-1013</t>
  </si>
  <si>
    <t>Oncology</t>
  </si>
  <si>
    <t>Per Diem</t>
  </si>
  <si>
    <t>CLM-1014</t>
  </si>
  <si>
    <t>CLM-1015</t>
  </si>
  <si>
    <t>CLM-1016</t>
  </si>
  <si>
    <t>CLM-1017</t>
  </si>
  <si>
    <t>CLM-1018</t>
  </si>
  <si>
    <t>CLM-1019</t>
  </si>
  <si>
    <t>OB/GYN</t>
  </si>
  <si>
    <t>CLM-1020</t>
  </si>
  <si>
    <t>CLM-1021</t>
  </si>
  <si>
    <t>CLM-1022</t>
  </si>
  <si>
    <t>CLM-1023</t>
  </si>
  <si>
    <t>CLM-1024</t>
  </si>
  <si>
    <t>CLM-1025</t>
  </si>
  <si>
    <t>Emergency</t>
  </si>
  <si>
    <t>Fee Schedule</t>
  </si>
  <si>
    <t>CLM-1026</t>
  </si>
  <si>
    <t>CLM-1027</t>
  </si>
  <si>
    <t>CLM-1028</t>
  </si>
  <si>
    <t>CLM-1029</t>
  </si>
  <si>
    <t>CLM-1030</t>
  </si>
  <si>
    <t>CLM-1031</t>
  </si>
  <si>
    <t>Radiology</t>
  </si>
  <si>
    <t>CLM-1032</t>
  </si>
  <si>
    <t>CLM-1033</t>
  </si>
  <si>
    <t>CLM-1034</t>
  </si>
  <si>
    <t>CLM-1035</t>
  </si>
  <si>
    <t>CLM-1036</t>
  </si>
  <si>
    <t>CLM-1037</t>
  </si>
  <si>
    <t>Neurology</t>
  </si>
  <si>
    <t>CLM-1038</t>
  </si>
  <si>
    <t>CLM-1039</t>
  </si>
  <si>
    <t>CLM-1040</t>
  </si>
  <si>
    <t>CLM-1041</t>
  </si>
  <si>
    <t>CLM-1042</t>
  </si>
  <si>
    <t>CLM-1043</t>
  </si>
  <si>
    <t>Q2 2023</t>
  </si>
  <si>
    <t>CLM-1044</t>
  </si>
  <si>
    <t>CLM-1045</t>
  </si>
  <si>
    <t>CLM-1046</t>
  </si>
  <si>
    <t>CLM-1047</t>
  </si>
  <si>
    <t>CLM-1048</t>
  </si>
  <si>
    <t>CLM-1049</t>
  </si>
  <si>
    <t>CLM-1050</t>
  </si>
  <si>
    <t>CLM-1051</t>
  </si>
  <si>
    <t>CLM-1052</t>
  </si>
  <si>
    <t>CLM-1053</t>
  </si>
  <si>
    <t>CLM-1054</t>
  </si>
  <si>
    <t>CLM-1055</t>
  </si>
  <si>
    <t>CLM-1056</t>
  </si>
  <si>
    <t>CLM-1057</t>
  </si>
  <si>
    <t>CLM-1058</t>
  </si>
  <si>
    <t>CLM-1059</t>
  </si>
  <si>
    <t>CLM-1060</t>
  </si>
  <si>
    <t>CLM-1061</t>
  </si>
  <si>
    <t>CLM-1062</t>
  </si>
  <si>
    <t>CLM-1063</t>
  </si>
  <si>
    <t>CLM-1064</t>
  </si>
  <si>
    <t>CLM-1065</t>
  </si>
  <si>
    <t>CLM-1066</t>
  </si>
  <si>
    <t>CLM-1067</t>
  </si>
  <si>
    <t>CLM-1068</t>
  </si>
  <si>
    <t>CLM-1069</t>
  </si>
  <si>
    <t>CLM-1070</t>
  </si>
  <si>
    <t>CLM-1071</t>
  </si>
  <si>
    <t>CLM-1072</t>
  </si>
  <si>
    <t>CLM-1073</t>
  </si>
  <si>
    <t>CLM-1074</t>
  </si>
  <si>
    <t>CLM-1075</t>
  </si>
  <si>
    <t>CLM-1076</t>
  </si>
  <si>
    <t>CLM-1077</t>
  </si>
  <si>
    <t>CLM-1078</t>
  </si>
  <si>
    <t>CLM-1079</t>
  </si>
  <si>
    <t>CLM-1080</t>
  </si>
  <si>
    <t>CLM-1081</t>
  </si>
  <si>
    <t>CLM-1082</t>
  </si>
  <si>
    <t>CLM-1083</t>
  </si>
  <si>
    <t>CLM-1084</t>
  </si>
  <si>
    <t>CLM-1085</t>
  </si>
  <si>
    <t>Q3 2023</t>
  </si>
  <si>
    <t>CLM-1086</t>
  </si>
  <si>
    <t>CLM-1087</t>
  </si>
  <si>
    <t>CLM-1088</t>
  </si>
  <si>
    <t>CLM-1089</t>
  </si>
  <si>
    <t>CLM-1090</t>
  </si>
  <si>
    <t>CLM-1091</t>
  </si>
  <si>
    <t>CLM-1092</t>
  </si>
  <si>
    <t>CLM-1093</t>
  </si>
  <si>
    <t>CLM-1094</t>
  </si>
  <si>
    <t>CLM-1095</t>
  </si>
  <si>
    <t>CLM-1096</t>
  </si>
  <si>
    <t>CLM-1097</t>
  </si>
  <si>
    <t>CLM-1098</t>
  </si>
  <si>
    <t>CLM-1099</t>
  </si>
  <si>
    <t>CLM-1100</t>
  </si>
  <si>
    <t>CLM-1101</t>
  </si>
  <si>
    <t>CLM-1102</t>
  </si>
  <si>
    <t>CLM-1103</t>
  </si>
  <si>
    <t>CLM-1104</t>
  </si>
  <si>
    <t>CLM-1105</t>
  </si>
  <si>
    <t>CLM-1106</t>
  </si>
  <si>
    <t>CLM-1107</t>
  </si>
  <si>
    <t>CLM-1108</t>
  </si>
  <si>
    <t>CLM-1109</t>
  </si>
  <si>
    <t>CLM-1110</t>
  </si>
  <si>
    <t>CLM-1111</t>
  </si>
  <si>
    <t>CLM-1112</t>
  </si>
  <si>
    <t>CLM-1113</t>
  </si>
  <si>
    <t>CLM-1114</t>
  </si>
  <si>
    <t>CLM-1115</t>
  </si>
  <si>
    <t>CLM-1116</t>
  </si>
  <si>
    <t>CLM-1117</t>
  </si>
  <si>
    <t>CLM-1118</t>
  </si>
  <si>
    <t>CLM-1119</t>
  </si>
  <si>
    <t>CLM-1120</t>
  </si>
  <si>
    <t>CLM-1121</t>
  </si>
  <si>
    <t>CLM-1122</t>
  </si>
  <si>
    <t>CLM-1123</t>
  </si>
  <si>
    <t>CLM-1124</t>
  </si>
  <si>
    <t>CLM-1125</t>
  </si>
  <si>
    <t>CLM-1126</t>
  </si>
  <si>
    <t>CLM-1127</t>
  </si>
  <si>
    <t>Q4 2023</t>
  </si>
  <si>
    <t>CLM-1128</t>
  </si>
  <si>
    <t>CLM-1129</t>
  </si>
  <si>
    <t>CLM-1130</t>
  </si>
  <si>
    <t>CLM-1131</t>
  </si>
  <si>
    <t>CLM-1132</t>
  </si>
  <si>
    <t>CLM-1133</t>
  </si>
  <si>
    <t>CLM-1134</t>
  </si>
  <si>
    <t>CLM-1135</t>
  </si>
  <si>
    <t>CLM-1136</t>
  </si>
  <si>
    <t>CLM-1137</t>
  </si>
  <si>
    <t>CLM-1138</t>
  </si>
  <si>
    <t>CLM-1139</t>
  </si>
  <si>
    <t>CLM-1140</t>
  </si>
  <si>
    <t>CLM-1141</t>
  </si>
  <si>
    <t>CLM-1142</t>
  </si>
  <si>
    <t>CLM-1143</t>
  </si>
  <si>
    <t>CLM-1144</t>
  </si>
  <si>
    <t>CLM-1145</t>
  </si>
  <si>
    <t>CLM-1146</t>
  </si>
  <si>
    <t>CLM-1147</t>
  </si>
  <si>
    <t>CLM-1148</t>
  </si>
  <si>
    <t>CLM-1149</t>
  </si>
  <si>
    <t>CLM-1150</t>
  </si>
  <si>
    <t>CLM-1151</t>
  </si>
  <si>
    <t>CLM-1152</t>
  </si>
  <si>
    <t>CLM-1153</t>
  </si>
  <si>
    <t>CLM-1154</t>
  </si>
  <si>
    <t>CLM-1155</t>
  </si>
  <si>
    <t>CLM-1156</t>
  </si>
  <si>
    <t>CLM-1157</t>
  </si>
  <si>
    <t>CLM-1158</t>
  </si>
  <si>
    <t>CLM-1159</t>
  </si>
  <si>
    <t>CLM-1160</t>
  </si>
  <si>
    <t>CLM-1161</t>
  </si>
  <si>
    <t>CLM-1162</t>
  </si>
  <si>
    <t>CLM-1163</t>
  </si>
  <si>
    <t>CLM-1164</t>
  </si>
  <si>
    <t>CLM-1165</t>
  </si>
  <si>
    <t>CLM-1166</t>
  </si>
  <si>
    <t>CLM-1167</t>
  </si>
  <si>
    <t>CLM-1168</t>
  </si>
  <si>
    <t>CLM-1169</t>
  </si>
  <si>
    <t>Q1 2024</t>
  </si>
  <si>
    <t>CLM-1170</t>
  </si>
  <si>
    <t>CLM-1171</t>
  </si>
  <si>
    <t>CLM-1172</t>
  </si>
  <si>
    <t>CLM-1173</t>
  </si>
  <si>
    <t>CLM-1174</t>
  </si>
  <si>
    <t>CLM-1175</t>
  </si>
  <si>
    <t>CLM-1176</t>
  </si>
  <si>
    <t>CLM-1177</t>
  </si>
  <si>
    <t>CLM-1178</t>
  </si>
  <si>
    <t>CLM-1179</t>
  </si>
  <si>
    <t>CLM-1180</t>
  </si>
  <si>
    <t>CLM-1181</t>
  </si>
  <si>
    <t>CLM-1182</t>
  </si>
  <si>
    <t>CLM-1183</t>
  </si>
  <si>
    <t>CLM-1184</t>
  </si>
  <si>
    <t>CLM-1185</t>
  </si>
  <si>
    <t>CLM-1186</t>
  </si>
  <si>
    <t>CLM-1187</t>
  </si>
  <si>
    <t>CLM-1188</t>
  </si>
  <si>
    <t>CLM-1189</t>
  </si>
  <si>
    <t>CLM-1190</t>
  </si>
  <si>
    <t>CLM-1191</t>
  </si>
  <si>
    <t>CLM-1192</t>
  </si>
  <si>
    <t>CLM-1193</t>
  </si>
  <si>
    <t>CLM-1194</t>
  </si>
  <si>
    <t>CLM-1195</t>
  </si>
  <si>
    <t>CLM-1196</t>
  </si>
  <si>
    <t>CLM-1197</t>
  </si>
  <si>
    <t>CLM-1198</t>
  </si>
  <si>
    <t>CLM-1199</t>
  </si>
  <si>
    <t>CLM-1200</t>
  </si>
  <si>
    <t>CLM-1201</t>
  </si>
  <si>
    <t>CLM-1202</t>
  </si>
  <si>
    <t>CLM-1203</t>
  </si>
  <si>
    <t>CLM-1204</t>
  </si>
  <si>
    <t>CLM-1205</t>
  </si>
  <si>
    <t>CLM-1206</t>
  </si>
  <si>
    <t>CLM-1207</t>
  </si>
  <si>
    <t>CLM-1208</t>
  </si>
  <si>
    <t>CLM-1209</t>
  </si>
  <si>
    <t>CLM-1210</t>
  </si>
  <si>
    <t>CLM-1211</t>
  </si>
  <si>
    <t>Q2 2024</t>
  </si>
  <si>
    <t>CLM-1212</t>
  </si>
  <si>
    <t>CLM-1213</t>
  </si>
  <si>
    <t>CLM-1214</t>
  </si>
  <si>
    <t>CLM-1215</t>
  </si>
  <si>
    <t>CLM-1216</t>
  </si>
  <si>
    <t>CLM-1217</t>
  </si>
  <si>
    <t>CLM-1218</t>
  </si>
  <si>
    <t>CLM-1219</t>
  </si>
  <si>
    <t>CLM-1220</t>
  </si>
  <si>
    <t>CLM-1221</t>
  </si>
  <si>
    <t>CLM-1222</t>
  </si>
  <si>
    <t>CLM-1223</t>
  </si>
  <si>
    <t>CLM-1224</t>
  </si>
  <si>
    <t>CLM-1225</t>
  </si>
  <si>
    <t>CLM-1226</t>
  </si>
  <si>
    <t>CLM-1227</t>
  </si>
  <si>
    <t>CLM-1228</t>
  </si>
  <si>
    <t>CLM-1229</t>
  </si>
  <si>
    <t>CLM-1230</t>
  </si>
  <si>
    <t>CLM-1231</t>
  </si>
  <si>
    <t>CLM-1232</t>
  </si>
  <si>
    <t>CLM-1233</t>
  </si>
  <si>
    <t>CLM-1234</t>
  </si>
  <si>
    <t>CLM-1235</t>
  </si>
  <si>
    <t>CLM-1236</t>
  </si>
  <si>
    <t>CLM-1237</t>
  </si>
  <si>
    <t>CLM-1238</t>
  </si>
  <si>
    <t>CLM-1239</t>
  </si>
  <si>
    <t>CLM-1240</t>
  </si>
  <si>
    <t>CLM-1241</t>
  </si>
  <si>
    <t>CLM-1242</t>
  </si>
  <si>
    <t>CLM-1243</t>
  </si>
  <si>
    <t>CLM-1244</t>
  </si>
  <si>
    <t>CLM-1245</t>
  </si>
  <si>
    <t>CLM-1246</t>
  </si>
  <si>
    <t>CLM-1247</t>
  </si>
  <si>
    <t>CLM-1248</t>
  </si>
  <si>
    <t>CLM-1249</t>
  </si>
  <si>
    <t>CLM-1250</t>
  </si>
  <si>
    <t>CLM-1251</t>
  </si>
  <si>
    <t>CLM-1252</t>
  </si>
  <si>
    <t>CLM-1253</t>
  </si>
  <si>
    <t>Q3 2024</t>
  </si>
  <si>
    <t>CLM-1254</t>
  </si>
  <si>
    <t>CLM-1255</t>
  </si>
  <si>
    <t>CLM-1256</t>
  </si>
  <si>
    <t>CLM-1257</t>
  </si>
  <si>
    <t>CLM-1258</t>
  </si>
  <si>
    <t>CLM-1259</t>
  </si>
  <si>
    <t>CLM-1260</t>
  </si>
  <si>
    <t>CLM-1261</t>
  </si>
  <si>
    <t>CLM-1262</t>
  </si>
  <si>
    <t>CLM-1263</t>
  </si>
  <si>
    <t>CLM-1264</t>
  </si>
  <si>
    <t>CLM-1265</t>
  </si>
  <si>
    <t>CLM-1266</t>
  </si>
  <si>
    <t>CLM-1267</t>
  </si>
  <si>
    <t>CLM-1268</t>
  </si>
  <si>
    <t>CLM-1269</t>
  </si>
  <si>
    <t>CLM-1270</t>
  </si>
  <si>
    <t>CLM-1271</t>
  </si>
  <si>
    <t>CLM-1272</t>
  </si>
  <si>
    <t>CLM-1273</t>
  </si>
  <si>
    <t>CLM-1274</t>
  </si>
  <si>
    <t>CLM-1275</t>
  </si>
  <si>
    <t>CLM-1276</t>
  </si>
  <si>
    <t>CLM-1277</t>
  </si>
  <si>
    <t>CLM-1278</t>
  </si>
  <si>
    <t>CLM-1279</t>
  </si>
  <si>
    <t>CLM-1280</t>
  </si>
  <si>
    <t>CLM-1281</t>
  </si>
  <si>
    <t>CLM-1282</t>
  </si>
  <si>
    <t>CLM-1283</t>
  </si>
  <si>
    <t>CLM-1284</t>
  </si>
  <si>
    <t>CLM-1285</t>
  </si>
  <si>
    <t>CLM-1286</t>
  </si>
  <si>
    <t>CLM-1287</t>
  </si>
  <si>
    <t>CLM-1288</t>
  </si>
  <si>
    <t>CLM-1289</t>
  </si>
  <si>
    <t>CLM-1290</t>
  </si>
  <si>
    <t>CLM-1291</t>
  </si>
  <si>
    <t>CLM-1292</t>
  </si>
  <si>
    <t>CLM-1293</t>
  </si>
  <si>
    <t>CLM-1294</t>
  </si>
  <si>
    <t>CLM-1295</t>
  </si>
  <si>
    <t>Q4 2024</t>
  </si>
  <si>
    <t>CLM-1296</t>
  </si>
  <si>
    <t>CLM-1297</t>
  </si>
  <si>
    <t>CLM-1298</t>
  </si>
  <si>
    <t>CLM-1299</t>
  </si>
  <si>
    <t>CLM-1300</t>
  </si>
  <si>
    <t>CLM-1301</t>
  </si>
  <si>
    <t>CLM-1302</t>
  </si>
  <si>
    <t>CLM-1303</t>
  </si>
  <si>
    <t>CLM-1304</t>
  </si>
  <si>
    <t>CLM-1305</t>
  </si>
  <si>
    <t>CLM-1306</t>
  </si>
  <si>
    <t>CLM-1307</t>
  </si>
  <si>
    <t>CLM-1308</t>
  </si>
  <si>
    <t>CLM-1309</t>
  </si>
  <si>
    <t>CLM-1310</t>
  </si>
  <si>
    <t>CLM-1311</t>
  </si>
  <si>
    <t>CLM-1312</t>
  </si>
  <si>
    <t>CLM-1313</t>
  </si>
  <si>
    <t>CLM-1314</t>
  </si>
  <si>
    <t>CLM-1315</t>
  </si>
  <si>
    <t>CLM-1316</t>
  </si>
  <si>
    <t>CLM-1317</t>
  </si>
  <si>
    <t>CLM-1318</t>
  </si>
  <si>
    <t>CLM-1319</t>
  </si>
  <si>
    <t>CLM-1320</t>
  </si>
  <si>
    <t>CLM-1321</t>
  </si>
  <si>
    <t>CLM-1322</t>
  </si>
  <si>
    <t>CLM-1323</t>
  </si>
  <si>
    <t>CLM-1324</t>
  </si>
  <si>
    <t>CLM-1325</t>
  </si>
  <si>
    <t>CLM-1326</t>
  </si>
  <si>
    <t>CLM-1327</t>
  </si>
  <si>
    <t>CLM-1328</t>
  </si>
  <si>
    <t>CLM-1329</t>
  </si>
  <si>
    <t>CLM-1330</t>
  </si>
  <si>
    <t>CLM-1331</t>
  </si>
  <si>
    <t>CLM-1332</t>
  </si>
  <si>
    <t>CLM-1333</t>
  </si>
  <si>
    <t>CLM-1334</t>
  </si>
  <si>
    <t>CLM-1335</t>
  </si>
  <si>
    <t>CLM-1336</t>
  </si>
  <si>
    <t>TOTAL</t>
  </si>
  <si>
    <t>Reimbursement &amp; Denial Rate Analysis by Payer</t>
  </si>
  <si>
    <t>Source: Sheet '1 - Raw Claims Data'  |  All periods combined</t>
  </si>
  <si>
    <t>Total Billed ($)</t>
  </si>
  <si>
    <t>Total Reimbursed ($)</t>
  </si>
  <si>
    <t>Avg Denial Rate (%)</t>
  </si>
  <si>
    <t>Total Cases</t>
  </si>
  <si>
    <t>Reimbursement Rate (%)</t>
  </si>
  <si>
    <t>GRAND TOTAL</t>
  </si>
  <si>
    <t>KEY INSIGHTS</t>
  </si>
  <si>
    <t>• Medicare is the strongest payer: highest reimbursement rate (~78%) and lowest denial rate (~5%).</t>
  </si>
  <si>
    <t>• United Healthcare and Humana represent mid-tier risk. Aetna denial rates warrant close monitoring.</t>
  </si>
  <si>
    <t>• Recommendation: Prioritize Medicaid and Aetna contract renegotiation in the next cycle.</t>
  </si>
  <si>
    <t>Service Line Utilization &amp; Reimbursement Analysis</t>
  </si>
  <si>
    <t>Source: Sheet '1 - Raw Claims Data'  |  All payers combined</t>
  </si>
  <si>
    <t>Avg Reimb. per Case ($)</t>
  </si>
  <si>
    <t>Risk Level</t>
  </si>
  <si>
    <t>HIGH</t>
  </si>
  <si>
    <t>MEDIUM</t>
  </si>
  <si>
    <t>LOW</t>
  </si>
  <si>
    <t>—</t>
  </si>
  <si>
    <t>Contract Rate Scenario Analysis — Reimbursement Impact Modeling</t>
  </si>
  <si>
    <t>Blue cells are adjustable inputs. Change the rate % to model different contract negotiation outcomes.</t>
  </si>
  <si>
    <t>RATE CHANGE ASSUMPTIONS  (edit the blue cells below to run your own scenarios)</t>
  </si>
  <si>
    <t>Scenario</t>
  </si>
  <si>
    <t>Rate Change (%)</t>
  </si>
  <si>
    <t>Description</t>
  </si>
  <si>
    <t>Modest 3% increase</t>
  </si>
  <si>
    <t>Standard 5% renegotiation target</t>
  </si>
  <si>
    <t>Aggressive 10% uplift</t>
  </si>
  <si>
    <t>Rate compression scenario</t>
  </si>
  <si>
    <t>REIMBURSEMENT IMPACT BY SERVICE LINE</t>
  </si>
  <si>
    <t>Baseline Reimbursed ($)</t>
  </si>
  <si>
    <t>Scenario A +3% ($)</t>
  </si>
  <si>
    <t>Scenario B +5% ($)</t>
  </si>
  <si>
    <t>Scenario C +10% ($)</t>
  </si>
  <si>
    <t>Scenario D -3% ($)</t>
  </si>
  <si>
    <t>Best Case Uplift ($)</t>
  </si>
  <si>
    <t>TOTAL IMPACT</t>
  </si>
  <si>
    <t>MEDICAL ECONOMICS ANALYST PORTFOLIO PROJECT</t>
  </si>
  <si>
    <t>Managed Care Reimbursement &amp; Utilization Trend Analysis  |  AdventHealth Corporate</t>
  </si>
  <si>
    <t>BUSINESS QUESTION</t>
  </si>
  <si>
    <t>DATASET OVERVIEW</t>
  </si>
  <si>
    <t>Records Analyzed:</t>
  </si>
  <si>
    <t>336 simulated claims across 6 payers, 7 service lines, 8 quarters (2023–2024)</t>
  </si>
  <si>
    <t>Payers Included:</t>
  </si>
  <si>
    <t>United Healthcare, Aetna, Florida Blue, Medicare, Medicaid, Humana</t>
  </si>
  <si>
    <t>Service Lines:</t>
  </si>
  <si>
    <t>Orthopedics, Cardiology, Oncology, OB/GYN, Emergency, Radiology, Neurology</t>
  </si>
  <si>
    <t>Reimbursement Methods:</t>
  </si>
  <si>
    <t>DRG (Diagnosis-Related Group), Per Diem, Fee Schedule</t>
  </si>
  <si>
    <t>Tool Used:</t>
  </si>
  <si>
    <t>KEY FINDINGS</t>
  </si>
  <si>
    <t>Medicaid carries the highest average denial rate (~14%) and lowest reimbursement rate (~55%). This represents the greatest financial exposure and should be the top priority for contract renegotiation.</t>
  </si>
  <si>
    <t>Medicare demonstrates the best reimbursement rate (~78%) with the lowest denial rate (~5%), making it the most reliable and predictable revenue source across all service lines.</t>
  </si>
  <si>
    <t>Cardiology and Orthopedics generate the highest reimbursement per case, driven by DRG-based contracts with higher fixed payment rates. These lines carry the most revenue at stake in contract negotiations.</t>
  </si>
  <si>
    <t>A 5% rate increase across all payers yields the most significant total reimbursement uplift in Cardiology and Orthopedics due to high per-case values. Even small rate changes in these lines have outsized revenue impact.</t>
  </si>
  <si>
    <t>RECOMMENDATIONS</t>
  </si>
  <si>
    <t>1. Renegotiate Medicaid:</t>
  </si>
  <si>
    <t>Prioritize Medicaid contract renegotiation to reduce the ~14% denial rate and improve reimbursement terms. Current performance is significantly below all commercial payers.</t>
  </si>
  <si>
    <t>2. Monitor Aetna Denial Trends:</t>
  </si>
  <si>
    <t>Aetna's denial rate (~11%) is the second highest. Implement a denial tracking process by service line to identify patterns and support appeals.</t>
  </si>
  <si>
    <t>3. Protect High-Value Lines:</t>
  </si>
  <si>
    <t>Ensure Orthopedics and Cardiology DRG rates keep pace with market benchmarks. These two lines carry the highest revenue risk if rates erode over contract cycles.</t>
  </si>
  <si>
    <t>4. Grow OB/GYN Volume:</t>
  </si>
  <si>
    <t>OB/GYN has the highest utilization volume with low denial risk. Increasing rates here would yield broad, stable revenue growth with minimal contract risk.</t>
  </si>
  <si>
    <t>METHODOLOGY &amp; LIMITATIONS</t>
  </si>
  <si>
    <t>Methodology:</t>
  </si>
  <si>
    <t>Simulated claims dataset modeled after real managed care contract structures. Reimbursement rates and denial rates based on industry benchmarks for Florida healthcare market.</t>
  </si>
  <si>
    <t>Limitations:</t>
  </si>
  <si>
    <t>Data is simulated for portfolio purposes. Real analysis would use Epic system exports, actual payer contract files, and historical claims data from the financial system.</t>
  </si>
  <si>
    <t>Next Steps:</t>
  </si>
  <si>
    <t>Real-world application would include DRG weight analysis, outlier payment modeling, and trend regression over 3–5 years of claims data.</t>
  </si>
  <si>
    <t>Prepared by: Kyle Fuller  |  BS Health Informatics, UCF  |  MS Healthcare Informatics (in progress)  |  April 2026</t>
  </si>
  <si>
    <t>How do reimbursement rates, denial trends, and utilization patterns vary across payers and service lines at AdventHealth and what is the projected financial impact of different contract rate change scenarios?</t>
  </si>
  <si>
    <t>Microsoft Excel: SUMIF, AVERAGEIF, scenario modeling, summary tables</t>
  </si>
  <si>
    <t>Finding 1: Medicaid Highest Risk:</t>
  </si>
  <si>
    <t>Finding 2: Medicare Strongest Payer:</t>
  </si>
  <si>
    <t>Finding 3: High-Value Service Lines:</t>
  </si>
  <si>
    <t>Finding 4: Scenario Impact (Base Case +5%):</t>
  </si>
  <si>
    <t>• Medicaid carries the highest denial rate (~14%) and lowest reimbursement rate (~55%) highest financial risk payer.</t>
  </si>
  <si>
    <t>• Net Variance reveals which payers consistently underperform their contract terms monitor quarterly.</t>
  </si>
  <si>
    <t>Scenario A: Conservative</t>
  </si>
  <si>
    <t>Scenario B: Base Case</t>
  </si>
  <si>
    <t>Scenario C: Optimistic</t>
  </si>
  <si>
    <t>Scenario D: Decline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</si>
</sst>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0.0"/>
    <numFmt numFmtId="166" formatCode="\$#,##0.00;&quot;($&quot;#,##0.00\)"/>
    <numFmt numFmtId="167" formatCode="\$#,##0"/>
    <numFmt numFmtId="168" formatCode="\$#,##0;&quot;($&quot;#,##0\)"/>
    <numFmt numFmtId="169" formatCode="0.0%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b/>
      <sz val="11"/>
      <color rgb="FF1F4E79"/>
      <name val="Arial"/>
      <family val="2"/>
    </font>
    <font>
      <b/>
      <sz val="10"/>
      <color rgb="FF0000FF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59595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BF3FB"/>
      </patternFill>
    </fill>
  </fills>
  <borders count="3">
    <border>
      <left/>
      <right/>
      <top/>
      <bottom/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165" fontId="3" fillId="5" borderId="2" xfId="0" applyNumberFormat="1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166" fontId="3" fillId="5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167" fontId="2" fillId="3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168" fontId="2" fillId="3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167" fontId="3" fillId="5" borderId="2" xfId="0" applyNumberFormat="1" applyFont="1" applyFill="1" applyBorder="1" applyAlignment="1">
      <alignment horizontal="center" vertical="center" wrapText="1"/>
    </xf>
    <xf numFmtId="168" fontId="3" fillId="5" borderId="2" xfId="0" applyNumberFormat="1" applyFont="1" applyFill="1" applyBorder="1" applyAlignment="1">
      <alignment horizontal="center" vertical="center" wrapText="1"/>
    </xf>
    <xf numFmtId="169" fontId="3" fillId="5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67" fontId="3" fillId="4" borderId="2" xfId="0" applyNumberFormat="1" applyFont="1" applyFill="1" applyBorder="1" applyAlignment="1">
      <alignment horizontal="center" vertical="center" wrapText="1"/>
    </xf>
    <xf numFmtId="168" fontId="3" fillId="4" borderId="2" xfId="0" applyNumberFormat="1" applyFont="1" applyFill="1" applyBorder="1" applyAlignment="1">
      <alignment horizontal="center" vertical="center" wrapText="1"/>
    </xf>
    <xf numFmtId="169" fontId="3" fillId="4" borderId="2" xfId="0" applyNumberFormat="1" applyFont="1" applyFill="1" applyBorder="1" applyAlignment="1">
      <alignment horizontal="center" vertical="center" wrapText="1"/>
    </xf>
    <xf numFmtId="169" fontId="2" fillId="3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9" fontId="7" fillId="8" borderId="2" xfId="0" applyNumberFormat="1" applyFont="1" applyFill="1" applyBorder="1" applyAlignment="1">
      <alignment horizontal="center" vertical="center" wrapText="1"/>
    </xf>
    <xf numFmtId="167" fontId="5" fillId="9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43C0C"/>
  </sheetPr>
  <dimension ref="B1:C30"/>
  <sheetViews>
    <sheetView showGridLines="0" zoomScale="89" zoomScaleNormal="89" workbookViewId="0">
      <selection activeCell="C17" sqref="C17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89.83203125" bestFit="1" customWidth="1"/>
    <col min="4" max="4" width="3" customWidth="1"/>
  </cols>
  <sheetData>
    <row r="1" spans="2:3" ht="37.5" customHeight="1" x14ac:dyDescent="0.2">
      <c r="B1" s="44" t="s">
        <v>411</v>
      </c>
      <c r="C1" s="44"/>
    </row>
    <row r="2" spans="2:3" ht="21.75" customHeight="1" x14ac:dyDescent="0.2">
      <c r="B2" s="45" t="s">
        <v>412</v>
      </c>
      <c r="C2" s="45"/>
    </row>
    <row r="3" spans="2:3" ht="18" customHeight="1" x14ac:dyDescent="0.2">
      <c r="B3" s="46" t="s">
        <v>445</v>
      </c>
      <c r="C3" s="46"/>
    </row>
    <row r="5" spans="2:3" ht="21.75" customHeight="1" x14ac:dyDescent="0.2">
      <c r="B5" s="43" t="s">
        <v>413</v>
      </c>
      <c r="C5" s="43"/>
    </row>
    <row r="6" spans="2:3" ht="36" customHeight="1" x14ac:dyDescent="0.2">
      <c r="B6" s="40" t="s">
        <v>446</v>
      </c>
      <c r="C6" s="40"/>
    </row>
    <row r="8" spans="2:3" ht="21.75" customHeight="1" x14ac:dyDescent="0.2">
      <c r="B8" s="43" t="s">
        <v>414</v>
      </c>
      <c r="C8" s="43"/>
    </row>
    <row r="9" spans="2:3" ht="18" customHeight="1" x14ac:dyDescent="0.2">
      <c r="B9" s="20" t="s">
        <v>415</v>
      </c>
      <c r="C9" s="9" t="s">
        <v>416</v>
      </c>
    </row>
    <row r="10" spans="2:3" ht="18" customHeight="1" x14ac:dyDescent="0.2">
      <c r="B10" s="20" t="s">
        <v>417</v>
      </c>
      <c r="C10" s="9" t="s">
        <v>418</v>
      </c>
    </row>
    <row r="11" spans="2:3" ht="18" customHeight="1" x14ac:dyDescent="0.2">
      <c r="B11" s="20" t="s">
        <v>419</v>
      </c>
      <c r="C11" s="9" t="s">
        <v>420</v>
      </c>
    </row>
    <row r="12" spans="2:3" ht="18" customHeight="1" x14ac:dyDescent="0.2">
      <c r="B12" s="20" t="s">
        <v>421</v>
      </c>
      <c r="C12" s="9" t="s">
        <v>422</v>
      </c>
    </row>
    <row r="13" spans="2:3" ht="18" customHeight="1" x14ac:dyDescent="0.2">
      <c r="B13" s="20" t="s">
        <v>423</v>
      </c>
      <c r="C13" s="9" t="s">
        <v>447</v>
      </c>
    </row>
    <row r="15" spans="2:3" ht="21.75" customHeight="1" x14ac:dyDescent="0.2">
      <c r="B15" s="43" t="s">
        <v>424</v>
      </c>
      <c r="C15" s="43"/>
    </row>
    <row r="16" spans="2:3" ht="36" customHeight="1" x14ac:dyDescent="0.2">
      <c r="B16" s="34" t="s">
        <v>448</v>
      </c>
      <c r="C16" s="35" t="s">
        <v>425</v>
      </c>
    </row>
    <row r="17" spans="2:3" ht="36" customHeight="1" x14ac:dyDescent="0.2">
      <c r="B17" s="36" t="s">
        <v>449</v>
      </c>
      <c r="C17" s="37" t="s">
        <v>426</v>
      </c>
    </row>
    <row r="18" spans="2:3" ht="36" customHeight="1" x14ac:dyDescent="0.2">
      <c r="B18" s="20" t="s">
        <v>450</v>
      </c>
      <c r="C18" s="9" t="s">
        <v>427</v>
      </c>
    </row>
    <row r="19" spans="2:3" ht="36" customHeight="1" x14ac:dyDescent="0.2">
      <c r="B19" s="38" t="s">
        <v>451</v>
      </c>
      <c r="C19" s="39" t="s">
        <v>428</v>
      </c>
    </row>
    <row r="21" spans="2:3" ht="21.75" customHeight="1" x14ac:dyDescent="0.2">
      <c r="B21" s="43" t="s">
        <v>429</v>
      </c>
      <c r="C21" s="43"/>
    </row>
    <row r="22" spans="2:3" ht="36" customHeight="1" x14ac:dyDescent="0.2">
      <c r="B22" s="38" t="s">
        <v>430</v>
      </c>
      <c r="C22" s="39" t="s">
        <v>431</v>
      </c>
    </row>
    <row r="23" spans="2:3" ht="36" customHeight="1" x14ac:dyDescent="0.2">
      <c r="B23" s="38" t="s">
        <v>432</v>
      </c>
      <c r="C23" s="39" t="s">
        <v>433</v>
      </c>
    </row>
    <row r="24" spans="2:3" ht="36" customHeight="1" x14ac:dyDescent="0.2">
      <c r="B24" s="38" t="s">
        <v>434</v>
      </c>
      <c r="C24" s="39" t="s">
        <v>435</v>
      </c>
    </row>
    <row r="25" spans="2:3" ht="36" customHeight="1" x14ac:dyDescent="0.2">
      <c r="B25" s="38" t="s">
        <v>436</v>
      </c>
      <c r="C25" s="39" t="s">
        <v>437</v>
      </c>
    </row>
    <row r="27" spans="2:3" ht="21.75" customHeight="1" x14ac:dyDescent="0.2">
      <c r="B27" s="43" t="s">
        <v>438</v>
      </c>
      <c r="C27" s="43"/>
    </row>
    <row r="28" spans="2:3" ht="30" customHeight="1" x14ac:dyDescent="0.2">
      <c r="B28" s="20" t="s">
        <v>439</v>
      </c>
      <c r="C28" s="9" t="s">
        <v>440</v>
      </c>
    </row>
    <row r="29" spans="2:3" ht="30" customHeight="1" x14ac:dyDescent="0.2">
      <c r="B29" s="20" t="s">
        <v>441</v>
      </c>
      <c r="C29" s="9" t="s">
        <v>442</v>
      </c>
    </row>
    <row r="30" spans="2:3" ht="30" customHeight="1" x14ac:dyDescent="0.2">
      <c r="B30" s="20" t="s">
        <v>443</v>
      </c>
      <c r="C30" s="9" t="s">
        <v>444</v>
      </c>
    </row>
  </sheetData>
  <mergeCells count="9">
    <mergeCell ref="B8:C8"/>
    <mergeCell ref="B15:C15"/>
    <mergeCell ref="B21:C21"/>
    <mergeCell ref="B27:C27"/>
    <mergeCell ref="B1:C1"/>
    <mergeCell ref="B2:C2"/>
    <mergeCell ref="B3:C3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K339"/>
  <sheetViews>
    <sheetView showGridLines="0" zoomScale="120" zoomScaleNormal="120" workbookViewId="0">
      <selection activeCell="K2" sqref="K2"/>
    </sheetView>
  </sheetViews>
  <sheetFormatPr baseColWidth="10" defaultColWidth="8.6640625" defaultRowHeight="15" x14ac:dyDescent="0.2"/>
  <cols>
    <col min="1" max="2" width="12" customWidth="1"/>
    <col min="3" max="3" width="20" customWidth="1"/>
    <col min="4" max="5" width="16" customWidth="1"/>
    <col min="6" max="6" width="20" customWidth="1"/>
    <col min="7" max="8" width="24" customWidth="1"/>
    <col min="9" max="9" width="14" customWidth="1"/>
    <col min="10" max="11" width="18" customWidth="1"/>
  </cols>
  <sheetData>
    <row r="1" spans="1:11" ht="27.75" customHeight="1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31.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">
      <c r="A3" s="2" t="s">
        <v>12</v>
      </c>
      <c r="B3" s="2" t="s">
        <v>13</v>
      </c>
      <c r="C3" s="3" t="s">
        <v>14</v>
      </c>
      <c r="D3" s="3" t="s">
        <v>15</v>
      </c>
      <c r="E3" s="2" t="s">
        <v>16</v>
      </c>
      <c r="F3" s="4">
        <v>28780.79</v>
      </c>
      <c r="G3" s="4">
        <v>18965.47</v>
      </c>
      <c r="H3" s="4">
        <v>20722.169999999998</v>
      </c>
      <c r="I3" s="5">
        <v>6.8</v>
      </c>
      <c r="J3" s="6">
        <v>132</v>
      </c>
      <c r="K3" s="7">
        <f t="shared" ref="K3:K66" si="0">G3-H3</f>
        <v>-1756.6999999999971</v>
      </c>
    </row>
    <row r="4" spans="1:11" x14ac:dyDescent="0.2">
      <c r="A4" s="8" t="s">
        <v>17</v>
      </c>
      <c r="B4" s="8" t="s">
        <v>13</v>
      </c>
      <c r="C4" s="9" t="s">
        <v>18</v>
      </c>
      <c r="D4" s="9" t="s">
        <v>15</v>
      </c>
      <c r="E4" s="8" t="s">
        <v>16</v>
      </c>
      <c r="F4" s="10">
        <v>29324.240000000002</v>
      </c>
      <c r="G4" s="10">
        <v>18118.73</v>
      </c>
      <c r="H4" s="10">
        <v>19940.48</v>
      </c>
      <c r="I4" s="11">
        <v>11.9</v>
      </c>
      <c r="J4" s="12">
        <v>127</v>
      </c>
      <c r="K4" s="13">
        <f t="shared" si="0"/>
        <v>-1821.75</v>
      </c>
    </row>
    <row r="5" spans="1:11" x14ac:dyDescent="0.2">
      <c r="A5" s="2" t="s">
        <v>19</v>
      </c>
      <c r="B5" s="2" t="s">
        <v>13</v>
      </c>
      <c r="C5" s="3" t="s">
        <v>20</v>
      </c>
      <c r="D5" s="3" t="s">
        <v>15</v>
      </c>
      <c r="E5" s="2" t="s">
        <v>16</v>
      </c>
      <c r="F5" s="4">
        <v>27562.76</v>
      </c>
      <c r="G5" s="4">
        <v>16058.98</v>
      </c>
      <c r="H5" s="4">
        <v>17915.79</v>
      </c>
      <c r="I5" s="5">
        <v>8.3000000000000007</v>
      </c>
      <c r="J5" s="6">
        <v>145</v>
      </c>
      <c r="K5" s="7">
        <f t="shared" si="0"/>
        <v>-1856.8100000000013</v>
      </c>
    </row>
    <row r="6" spans="1:11" x14ac:dyDescent="0.2">
      <c r="A6" s="8" t="s">
        <v>21</v>
      </c>
      <c r="B6" s="8" t="s">
        <v>13</v>
      </c>
      <c r="C6" s="9" t="s">
        <v>22</v>
      </c>
      <c r="D6" s="9" t="s">
        <v>15</v>
      </c>
      <c r="E6" s="8" t="s">
        <v>16</v>
      </c>
      <c r="F6" s="10">
        <v>25348.6</v>
      </c>
      <c r="G6" s="10">
        <v>19168.61</v>
      </c>
      <c r="H6" s="10">
        <v>19771.91</v>
      </c>
      <c r="I6" s="11">
        <v>4.2</v>
      </c>
      <c r="J6" s="12">
        <v>146</v>
      </c>
      <c r="K6" s="13">
        <f t="shared" si="0"/>
        <v>-603.29999999999927</v>
      </c>
    </row>
    <row r="7" spans="1:11" x14ac:dyDescent="0.2">
      <c r="A7" s="2" t="s">
        <v>23</v>
      </c>
      <c r="B7" s="2" t="s">
        <v>13</v>
      </c>
      <c r="C7" s="3" t="s">
        <v>24</v>
      </c>
      <c r="D7" s="3" t="s">
        <v>15</v>
      </c>
      <c r="E7" s="2" t="s">
        <v>16</v>
      </c>
      <c r="F7" s="4">
        <v>26434.47</v>
      </c>
      <c r="G7" s="4">
        <v>12723.63</v>
      </c>
      <c r="H7" s="4">
        <v>14538.96</v>
      </c>
      <c r="I7" s="5">
        <v>14.6</v>
      </c>
      <c r="J7" s="6">
        <v>123</v>
      </c>
      <c r="K7" s="7">
        <f t="shared" si="0"/>
        <v>-1815.33</v>
      </c>
    </row>
    <row r="8" spans="1:11" x14ac:dyDescent="0.2">
      <c r="A8" s="8" t="s">
        <v>25</v>
      </c>
      <c r="B8" s="8" t="s">
        <v>13</v>
      </c>
      <c r="C8" s="9" t="s">
        <v>26</v>
      </c>
      <c r="D8" s="9" t="s">
        <v>15</v>
      </c>
      <c r="E8" s="8" t="s">
        <v>16</v>
      </c>
      <c r="F8" s="10">
        <v>29712.59</v>
      </c>
      <c r="G8" s="10">
        <v>18808.23</v>
      </c>
      <c r="H8" s="10">
        <v>20798.810000000001</v>
      </c>
      <c r="I8" s="11">
        <v>8.4</v>
      </c>
      <c r="J8" s="12">
        <v>130</v>
      </c>
      <c r="K8" s="13">
        <f t="shared" si="0"/>
        <v>-1990.5800000000017</v>
      </c>
    </row>
    <row r="9" spans="1:11" x14ac:dyDescent="0.2">
      <c r="A9" s="2" t="s">
        <v>27</v>
      </c>
      <c r="B9" s="2" t="s">
        <v>13</v>
      </c>
      <c r="C9" s="3" t="s">
        <v>14</v>
      </c>
      <c r="D9" s="3" t="s">
        <v>28</v>
      </c>
      <c r="E9" s="2" t="s">
        <v>16</v>
      </c>
      <c r="F9" s="4">
        <v>34926.160000000003</v>
      </c>
      <c r="G9" s="4">
        <v>22454.33</v>
      </c>
      <c r="H9" s="4">
        <v>25146.84</v>
      </c>
      <c r="I9" s="5">
        <v>7.7</v>
      </c>
      <c r="J9" s="6">
        <v>86</v>
      </c>
      <c r="K9" s="7">
        <f t="shared" si="0"/>
        <v>-2692.5099999999984</v>
      </c>
    </row>
    <row r="10" spans="1:11" x14ac:dyDescent="0.2">
      <c r="A10" s="8" t="s">
        <v>29</v>
      </c>
      <c r="B10" s="8" t="s">
        <v>13</v>
      </c>
      <c r="C10" s="9" t="s">
        <v>18</v>
      </c>
      <c r="D10" s="9" t="s">
        <v>28</v>
      </c>
      <c r="E10" s="8" t="s">
        <v>16</v>
      </c>
      <c r="F10" s="10">
        <v>34223.96</v>
      </c>
      <c r="G10" s="10">
        <v>21054.34</v>
      </c>
      <c r="H10" s="10">
        <v>23272.29</v>
      </c>
      <c r="I10" s="11">
        <v>11.7</v>
      </c>
      <c r="J10" s="12">
        <v>104</v>
      </c>
      <c r="K10" s="13">
        <f t="shared" si="0"/>
        <v>-2217.9500000000007</v>
      </c>
    </row>
    <row r="11" spans="1:11" x14ac:dyDescent="0.2">
      <c r="A11" s="2" t="s">
        <v>30</v>
      </c>
      <c r="B11" s="2" t="s">
        <v>13</v>
      </c>
      <c r="C11" s="3" t="s">
        <v>20</v>
      </c>
      <c r="D11" s="3" t="s">
        <v>28</v>
      </c>
      <c r="E11" s="2" t="s">
        <v>16</v>
      </c>
      <c r="F11" s="4">
        <v>32231.86</v>
      </c>
      <c r="G11" s="4">
        <v>18444.2</v>
      </c>
      <c r="H11" s="4">
        <v>20950.71</v>
      </c>
      <c r="I11" s="5">
        <v>11.1</v>
      </c>
      <c r="J11" s="6">
        <v>99</v>
      </c>
      <c r="K11" s="7">
        <f t="shared" si="0"/>
        <v>-2506.5099999999984</v>
      </c>
    </row>
    <row r="12" spans="1:11" x14ac:dyDescent="0.2">
      <c r="A12" s="8" t="s">
        <v>31</v>
      </c>
      <c r="B12" s="8" t="s">
        <v>13</v>
      </c>
      <c r="C12" s="9" t="s">
        <v>22</v>
      </c>
      <c r="D12" s="9" t="s">
        <v>28</v>
      </c>
      <c r="E12" s="8" t="s">
        <v>16</v>
      </c>
      <c r="F12" s="10">
        <v>34108.19</v>
      </c>
      <c r="G12" s="10">
        <v>25868.65</v>
      </c>
      <c r="H12" s="10">
        <v>26604.39</v>
      </c>
      <c r="I12" s="11">
        <v>5.5</v>
      </c>
      <c r="J12" s="12">
        <v>100</v>
      </c>
      <c r="K12" s="13">
        <f t="shared" si="0"/>
        <v>-735.73999999999796</v>
      </c>
    </row>
    <row r="13" spans="1:11" x14ac:dyDescent="0.2">
      <c r="A13" s="2" t="s">
        <v>32</v>
      </c>
      <c r="B13" s="2" t="s">
        <v>13</v>
      </c>
      <c r="C13" s="3" t="s">
        <v>24</v>
      </c>
      <c r="D13" s="3" t="s">
        <v>28</v>
      </c>
      <c r="E13" s="2" t="s">
        <v>16</v>
      </c>
      <c r="F13" s="4">
        <v>33309.26</v>
      </c>
      <c r="G13" s="4">
        <v>15609.45</v>
      </c>
      <c r="H13" s="4">
        <v>18320.09</v>
      </c>
      <c r="I13" s="5">
        <v>12.9</v>
      </c>
      <c r="J13" s="6">
        <v>91</v>
      </c>
      <c r="K13" s="7">
        <f t="shared" si="0"/>
        <v>-2710.6399999999994</v>
      </c>
    </row>
    <row r="14" spans="1:11" x14ac:dyDescent="0.2">
      <c r="A14" s="8" t="s">
        <v>33</v>
      </c>
      <c r="B14" s="8" t="s">
        <v>13</v>
      </c>
      <c r="C14" s="9" t="s">
        <v>26</v>
      </c>
      <c r="D14" s="9" t="s">
        <v>28</v>
      </c>
      <c r="E14" s="8" t="s">
        <v>16</v>
      </c>
      <c r="F14" s="10">
        <v>29310.67</v>
      </c>
      <c r="G14" s="10">
        <v>18472.18</v>
      </c>
      <c r="H14" s="10">
        <v>20517.47</v>
      </c>
      <c r="I14" s="11">
        <v>7</v>
      </c>
      <c r="J14" s="12">
        <v>91</v>
      </c>
      <c r="K14" s="13">
        <f t="shared" si="0"/>
        <v>-2045.2900000000009</v>
      </c>
    </row>
    <row r="15" spans="1:11" x14ac:dyDescent="0.2">
      <c r="A15" s="2" t="s">
        <v>34</v>
      </c>
      <c r="B15" s="2" t="s">
        <v>13</v>
      </c>
      <c r="C15" s="3" t="s">
        <v>14</v>
      </c>
      <c r="D15" s="3" t="s">
        <v>35</v>
      </c>
      <c r="E15" s="2" t="s">
        <v>36</v>
      </c>
      <c r="F15" s="4">
        <v>18488.46</v>
      </c>
      <c r="G15" s="4">
        <v>12145.91</v>
      </c>
      <c r="H15" s="4">
        <v>13311.69</v>
      </c>
      <c r="I15" s="5">
        <v>7.8</v>
      </c>
      <c r="J15" s="6">
        <v>56</v>
      </c>
      <c r="K15" s="7">
        <f t="shared" si="0"/>
        <v>-1165.7800000000007</v>
      </c>
    </row>
    <row r="16" spans="1:11" x14ac:dyDescent="0.2">
      <c r="A16" s="8" t="s">
        <v>37</v>
      </c>
      <c r="B16" s="8" t="s">
        <v>13</v>
      </c>
      <c r="C16" s="9" t="s">
        <v>18</v>
      </c>
      <c r="D16" s="9" t="s">
        <v>35</v>
      </c>
      <c r="E16" s="8" t="s">
        <v>36</v>
      </c>
      <c r="F16" s="10">
        <v>17161.12</v>
      </c>
      <c r="G16" s="10">
        <v>10308.18</v>
      </c>
      <c r="H16" s="10">
        <v>11669.56</v>
      </c>
      <c r="I16" s="11">
        <v>12.7</v>
      </c>
      <c r="J16" s="12">
        <v>64</v>
      </c>
      <c r="K16" s="13">
        <f t="shared" si="0"/>
        <v>-1361.3799999999992</v>
      </c>
    </row>
    <row r="17" spans="1:11" x14ac:dyDescent="0.2">
      <c r="A17" s="2" t="s">
        <v>38</v>
      </c>
      <c r="B17" s="2" t="s">
        <v>13</v>
      </c>
      <c r="C17" s="3" t="s">
        <v>20</v>
      </c>
      <c r="D17" s="3" t="s">
        <v>35</v>
      </c>
      <c r="E17" s="2" t="s">
        <v>36</v>
      </c>
      <c r="F17" s="4">
        <v>16816.099999999999</v>
      </c>
      <c r="G17" s="4">
        <v>9529.98</v>
      </c>
      <c r="H17" s="4">
        <v>10930.47</v>
      </c>
      <c r="I17" s="5">
        <v>10.4</v>
      </c>
      <c r="J17" s="6">
        <v>59</v>
      </c>
      <c r="K17" s="7">
        <f t="shared" si="0"/>
        <v>-1400.4899999999998</v>
      </c>
    </row>
    <row r="18" spans="1:11" x14ac:dyDescent="0.2">
      <c r="A18" s="8" t="s">
        <v>39</v>
      </c>
      <c r="B18" s="8" t="s">
        <v>13</v>
      </c>
      <c r="C18" s="9" t="s">
        <v>22</v>
      </c>
      <c r="D18" s="9" t="s">
        <v>35</v>
      </c>
      <c r="E18" s="8" t="s">
        <v>36</v>
      </c>
      <c r="F18" s="10">
        <v>19762.28</v>
      </c>
      <c r="G18" s="10">
        <v>14633.14</v>
      </c>
      <c r="H18" s="10">
        <v>15414.58</v>
      </c>
      <c r="I18" s="11">
        <v>5.5</v>
      </c>
      <c r="J18" s="12">
        <v>65</v>
      </c>
      <c r="K18" s="13">
        <f t="shared" si="0"/>
        <v>-781.44000000000051</v>
      </c>
    </row>
    <row r="19" spans="1:11" x14ac:dyDescent="0.2">
      <c r="A19" s="2" t="s">
        <v>40</v>
      </c>
      <c r="B19" s="2" t="s">
        <v>13</v>
      </c>
      <c r="C19" s="3" t="s">
        <v>24</v>
      </c>
      <c r="D19" s="3" t="s">
        <v>35</v>
      </c>
      <c r="E19" s="2" t="s">
        <v>36</v>
      </c>
      <c r="F19" s="4">
        <v>19234.27</v>
      </c>
      <c r="G19" s="4">
        <v>8786.76</v>
      </c>
      <c r="H19" s="4">
        <v>10578.85</v>
      </c>
      <c r="I19" s="5">
        <v>15.1</v>
      </c>
      <c r="J19" s="6">
        <v>53</v>
      </c>
      <c r="K19" s="7">
        <f t="shared" si="0"/>
        <v>-1792.0900000000001</v>
      </c>
    </row>
    <row r="20" spans="1:11" x14ac:dyDescent="0.2">
      <c r="A20" s="8" t="s">
        <v>41</v>
      </c>
      <c r="B20" s="8" t="s">
        <v>13</v>
      </c>
      <c r="C20" s="9" t="s">
        <v>26</v>
      </c>
      <c r="D20" s="9" t="s">
        <v>35</v>
      </c>
      <c r="E20" s="8" t="s">
        <v>36</v>
      </c>
      <c r="F20" s="10">
        <v>17335.63</v>
      </c>
      <c r="G20" s="10">
        <v>11012.7</v>
      </c>
      <c r="H20" s="10">
        <v>12134.94</v>
      </c>
      <c r="I20" s="11">
        <v>7.1</v>
      </c>
      <c r="J20" s="12">
        <v>70</v>
      </c>
      <c r="K20" s="13">
        <f t="shared" si="0"/>
        <v>-1122.2399999999998</v>
      </c>
    </row>
    <row r="21" spans="1:11" x14ac:dyDescent="0.2">
      <c r="A21" s="2" t="s">
        <v>42</v>
      </c>
      <c r="B21" s="2" t="s">
        <v>13</v>
      </c>
      <c r="C21" s="3" t="s">
        <v>14</v>
      </c>
      <c r="D21" s="3" t="s">
        <v>43</v>
      </c>
      <c r="E21" s="2" t="s">
        <v>16</v>
      </c>
      <c r="F21" s="4">
        <v>15053.83</v>
      </c>
      <c r="G21" s="4">
        <v>10139.549999999999</v>
      </c>
      <c r="H21" s="4">
        <v>10838.76</v>
      </c>
      <c r="I21" s="5">
        <v>7.6</v>
      </c>
      <c r="J21" s="6">
        <v>181</v>
      </c>
      <c r="K21" s="7">
        <f t="shared" si="0"/>
        <v>-699.21000000000095</v>
      </c>
    </row>
    <row r="22" spans="1:11" x14ac:dyDescent="0.2">
      <c r="A22" s="8" t="s">
        <v>44</v>
      </c>
      <c r="B22" s="8" t="s">
        <v>13</v>
      </c>
      <c r="C22" s="9" t="s">
        <v>18</v>
      </c>
      <c r="D22" s="9" t="s">
        <v>43</v>
      </c>
      <c r="E22" s="8" t="s">
        <v>16</v>
      </c>
      <c r="F22" s="10">
        <v>15160.73</v>
      </c>
      <c r="G22" s="10">
        <v>8972.35</v>
      </c>
      <c r="H22" s="10">
        <v>10309.299999999999</v>
      </c>
      <c r="I22" s="11">
        <v>11.3</v>
      </c>
      <c r="J22" s="12">
        <v>172</v>
      </c>
      <c r="K22" s="13">
        <f t="shared" si="0"/>
        <v>-1336.9499999999989</v>
      </c>
    </row>
    <row r="23" spans="1:11" x14ac:dyDescent="0.2">
      <c r="A23" s="2" t="s">
        <v>45</v>
      </c>
      <c r="B23" s="2" t="s">
        <v>13</v>
      </c>
      <c r="C23" s="3" t="s">
        <v>20</v>
      </c>
      <c r="D23" s="3" t="s">
        <v>43</v>
      </c>
      <c r="E23" s="2" t="s">
        <v>16</v>
      </c>
      <c r="F23" s="4">
        <v>14171.83</v>
      </c>
      <c r="G23" s="4">
        <v>8439.36</v>
      </c>
      <c r="H23" s="4">
        <v>9211.69</v>
      </c>
      <c r="I23" s="5">
        <v>9</v>
      </c>
      <c r="J23" s="6">
        <v>209</v>
      </c>
      <c r="K23" s="7">
        <f t="shared" si="0"/>
        <v>-772.32999999999993</v>
      </c>
    </row>
    <row r="24" spans="1:11" x14ac:dyDescent="0.2">
      <c r="A24" s="8" t="s">
        <v>46</v>
      </c>
      <c r="B24" s="8" t="s">
        <v>13</v>
      </c>
      <c r="C24" s="9" t="s">
        <v>22</v>
      </c>
      <c r="D24" s="9" t="s">
        <v>43</v>
      </c>
      <c r="E24" s="8" t="s">
        <v>16</v>
      </c>
      <c r="F24" s="10">
        <v>13718.32</v>
      </c>
      <c r="G24" s="10">
        <v>10647.77</v>
      </c>
      <c r="H24" s="10">
        <v>10700.29</v>
      </c>
      <c r="I24" s="11">
        <v>4.3</v>
      </c>
      <c r="J24" s="12">
        <v>187</v>
      </c>
      <c r="K24" s="13">
        <f t="shared" si="0"/>
        <v>-52.520000000000437</v>
      </c>
    </row>
    <row r="25" spans="1:11" x14ac:dyDescent="0.2">
      <c r="A25" s="2" t="s">
        <v>47</v>
      </c>
      <c r="B25" s="2" t="s">
        <v>13</v>
      </c>
      <c r="C25" s="3" t="s">
        <v>24</v>
      </c>
      <c r="D25" s="3" t="s">
        <v>43</v>
      </c>
      <c r="E25" s="2" t="s">
        <v>16</v>
      </c>
      <c r="F25" s="4">
        <v>12854.55</v>
      </c>
      <c r="G25" s="4">
        <v>5965.67</v>
      </c>
      <c r="H25" s="4">
        <v>7070</v>
      </c>
      <c r="I25" s="5">
        <v>12.9</v>
      </c>
      <c r="J25" s="6">
        <v>194</v>
      </c>
      <c r="K25" s="7">
        <f t="shared" si="0"/>
        <v>-1104.33</v>
      </c>
    </row>
    <row r="26" spans="1:11" x14ac:dyDescent="0.2">
      <c r="A26" s="8" t="s">
        <v>48</v>
      </c>
      <c r="B26" s="8" t="s">
        <v>13</v>
      </c>
      <c r="C26" s="9" t="s">
        <v>26</v>
      </c>
      <c r="D26" s="9" t="s">
        <v>43</v>
      </c>
      <c r="E26" s="8" t="s">
        <v>16</v>
      </c>
      <c r="F26" s="10">
        <v>14817.82</v>
      </c>
      <c r="G26" s="10">
        <v>9249.5</v>
      </c>
      <c r="H26" s="10">
        <v>10372.469999999999</v>
      </c>
      <c r="I26" s="11">
        <v>7.6</v>
      </c>
      <c r="J26" s="12">
        <v>180</v>
      </c>
      <c r="K26" s="13">
        <f t="shared" si="0"/>
        <v>-1122.9699999999993</v>
      </c>
    </row>
    <row r="27" spans="1:11" x14ac:dyDescent="0.2">
      <c r="A27" s="2" t="s">
        <v>49</v>
      </c>
      <c r="B27" s="2" t="s">
        <v>13</v>
      </c>
      <c r="C27" s="3" t="s">
        <v>14</v>
      </c>
      <c r="D27" s="3" t="s">
        <v>50</v>
      </c>
      <c r="E27" s="2" t="s">
        <v>51</v>
      </c>
      <c r="F27" s="4">
        <v>7144.96</v>
      </c>
      <c r="G27" s="4">
        <v>4895.17</v>
      </c>
      <c r="H27" s="4">
        <v>5144.37</v>
      </c>
      <c r="I27" s="5">
        <v>8.3000000000000007</v>
      </c>
      <c r="J27" s="6">
        <v>456</v>
      </c>
      <c r="K27" s="7">
        <f t="shared" si="0"/>
        <v>-249.19999999999982</v>
      </c>
    </row>
    <row r="28" spans="1:11" x14ac:dyDescent="0.2">
      <c r="A28" s="8" t="s">
        <v>52</v>
      </c>
      <c r="B28" s="8" t="s">
        <v>13</v>
      </c>
      <c r="C28" s="9" t="s">
        <v>18</v>
      </c>
      <c r="D28" s="9" t="s">
        <v>50</v>
      </c>
      <c r="E28" s="8" t="s">
        <v>51</v>
      </c>
      <c r="F28" s="10">
        <v>5864.93</v>
      </c>
      <c r="G28" s="10">
        <v>3556.54</v>
      </c>
      <c r="H28" s="10">
        <v>3988.15</v>
      </c>
      <c r="I28" s="11">
        <v>12.1</v>
      </c>
      <c r="J28" s="12">
        <v>416</v>
      </c>
      <c r="K28" s="13">
        <f t="shared" si="0"/>
        <v>-431.61000000000013</v>
      </c>
    </row>
    <row r="29" spans="1:11" x14ac:dyDescent="0.2">
      <c r="A29" s="2" t="s">
        <v>53</v>
      </c>
      <c r="B29" s="2" t="s">
        <v>13</v>
      </c>
      <c r="C29" s="3" t="s">
        <v>20</v>
      </c>
      <c r="D29" s="3" t="s">
        <v>50</v>
      </c>
      <c r="E29" s="2" t="s">
        <v>51</v>
      </c>
      <c r="F29" s="4">
        <v>6196.87</v>
      </c>
      <c r="G29" s="4">
        <v>3508.61</v>
      </c>
      <c r="H29" s="4">
        <v>4027.97</v>
      </c>
      <c r="I29" s="5">
        <v>10.1</v>
      </c>
      <c r="J29" s="6">
        <v>403</v>
      </c>
      <c r="K29" s="7">
        <f t="shared" si="0"/>
        <v>-519.35999999999967</v>
      </c>
    </row>
    <row r="30" spans="1:11" x14ac:dyDescent="0.2">
      <c r="A30" s="8" t="s">
        <v>54</v>
      </c>
      <c r="B30" s="8" t="s">
        <v>13</v>
      </c>
      <c r="C30" s="9" t="s">
        <v>22</v>
      </c>
      <c r="D30" s="9" t="s">
        <v>50</v>
      </c>
      <c r="E30" s="8" t="s">
        <v>51</v>
      </c>
      <c r="F30" s="10">
        <v>6439.84</v>
      </c>
      <c r="G30" s="10">
        <v>4837.8</v>
      </c>
      <c r="H30" s="10">
        <v>5023.08</v>
      </c>
      <c r="I30" s="11">
        <v>6.5</v>
      </c>
      <c r="J30" s="12">
        <v>382</v>
      </c>
      <c r="K30" s="13">
        <f t="shared" si="0"/>
        <v>-185.27999999999975</v>
      </c>
    </row>
    <row r="31" spans="1:11" x14ac:dyDescent="0.2">
      <c r="A31" s="2" t="s">
        <v>55</v>
      </c>
      <c r="B31" s="2" t="s">
        <v>13</v>
      </c>
      <c r="C31" s="3" t="s">
        <v>24</v>
      </c>
      <c r="D31" s="3" t="s">
        <v>50</v>
      </c>
      <c r="E31" s="2" t="s">
        <v>51</v>
      </c>
      <c r="F31" s="4">
        <v>6500.76</v>
      </c>
      <c r="G31" s="4">
        <v>3202.22</v>
      </c>
      <c r="H31" s="4">
        <v>3575.42</v>
      </c>
      <c r="I31" s="5">
        <v>13.3</v>
      </c>
      <c r="J31" s="6">
        <v>457</v>
      </c>
      <c r="K31" s="7">
        <f t="shared" si="0"/>
        <v>-373.20000000000027</v>
      </c>
    </row>
    <row r="32" spans="1:11" x14ac:dyDescent="0.2">
      <c r="A32" s="8" t="s">
        <v>56</v>
      </c>
      <c r="B32" s="8" t="s">
        <v>13</v>
      </c>
      <c r="C32" s="9" t="s">
        <v>26</v>
      </c>
      <c r="D32" s="9" t="s">
        <v>50</v>
      </c>
      <c r="E32" s="8" t="s">
        <v>51</v>
      </c>
      <c r="F32" s="10">
        <v>6237.98</v>
      </c>
      <c r="G32" s="10">
        <v>4043.47</v>
      </c>
      <c r="H32" s="10">
        <v>4366.59</v>
      </c>
      <c r="I32" s="11">
        <v>8.1999999999999993</v>
      </c>
      <c r="J32" s="12">
        <v>369</v>
      </c>
      <c r="K32" s="13">
        <f t="shared" si="0"/>
        <v>-323.12000000000035</v>
      </c>
    </row>
    <row r="33" spans="1:11" x14ac:dyDescent="0.2">
      <c r="A33" s="2" t="s">
        <v>57</v>
      </c>
      <c r="B33" s="2" t="s">
        <v>13</v>
      </c>
      <c r="C33" s="3" t="s">
        <v>14</v>
      </c>
      <c r="D33" s="3" t="s">
        <v>58</v>
      </c>
      <c r="E33" s="2" t="s">
        <v>51</v>
      </c>
      <c r="F33" s="4">
        <v>4420.51</v>
      </c>
      <c r="G33" s="4">
        <v>2983.66</v>
      </c>
      <c r="H33" s="4">
        <v>3182.77</v>
      </c>
      <c r="I33" s="5">
        <v>8.3000000000000007</v>
      </c>
      <c r="J33" s="6">
        <v>542</v>
      </c>
      <c r="K33" s="7">
        <f t="shared" si="0"/>
        <v>-199.11000000000013</v>
      </c>
    </row>
    <row r="34" spans="1:11" x14ac:dyDescent="0.2">
      <c r="A34" s="8" t="s">
        <v>59</v>
      </c>
      <c r="B34" s="8" t="s">
        <v>13</v>
      </c>
      <c r="C34" s="9" t="s">
        <v>18</v>
      </c>
      <c r="D34" s="9" t="s">
        <v>58</v>
      </c>
      <c r="E34" s="8" t="s">
        <v>51</v>
      </c>
      <c r="F34" s="10">
        <v>3780.48</v>
      </c>
      <c r="G34" s="10">
        <v>2202.4699999999998</v>
      </c>
      <c r="H34" s="10">
        <v>2570.73</v>
      </c>
      <c r="I34" s="11">
        <v>10.9</v>
      </c>
      <c r="J34" s="12">
        <v>607</v>
      </c>
      <c r="K34" s="13">
        <f t="shared" si="0"/>
        <v>-368.26000000000022</v>
      </c>
    </row>
    <row r="35" spans="1:11" x14ac:dyDescent="0.2">
      <c r="A35" s="2" t="s">
        <v>60</v>
      </c>
      <c r="B35" s="2" t="s">
        <v>13</v>
      </c>
      <c r="C35" s="3" t="s">
        <v>20</v>
      </c>
      <c r="D35" s="3" t="s">
        <v>58</v>
      </c>
      <c r="E35" s="2" t="s">
        <v>51</v>
      </c>
      <c r="F35" s="4">
        <v>4518.13</v>
      </c>
      <c r="G35" s="4">
        <v>2582.16</v>
      </c>
      <c r="H35" s="4">
        <v>2936.78</v>
      </c>
      <c r="I35" s="5">
        <v>10.7</v>
      </c>
      <c r="J35" s="6">
        <v>466</v>
      </c>
      <c r="K35" s="7">
        <f t="shared" si="0"/>
        <v>-354.62000000000035</v>
      </c>
    </row>
    <row r="36" spans="1:11" x14ac:dyDescent="0.2">
      <c r="A36" s="8" t="s">
        <v>61</v>
      </c>
      <c r="B36" s="8" t="s">
        <v>13</v>
      </c>
      <c r="C36" s="9" t="s">
        <v>22</v>
      </c>
      <c r="D36" s="9" t="s">
        <v>58</v>
      </c>
      <c r="E36" s="8" t="s">
        <v>51</v>
      </c>
      <c r="F36" s="10">
        <v>4517.53</v>
      </c>
      <c r="G36" s="10">
        <v>3188.83</v>
      </c>
      <c r="H36" s="10">
        <v>3523.67</v>
      </c>
      <c r="I36" s="11">
        <v>6.4</v>
      </c>
      <c r="J36" s="12">
        <v>535</v>
      </c>
      <c r="K36" s="13">
        <f t="shared" si="0"/>
        <v>-334.84000000000015</v>
      </c>
    </row>
    <row r="37" spans="1:11" x14ac:dyDescent="0.2">
      <c r="A37" s="2" t="s">
        <v>62</v>
      </c>
      <c r="B37" s="2" t="s">
        <v>13</v>
      </c>
      <c r="C37" s="3" t="s">
        <v>24</v>
      </c>
      <c r="D37" s="3" t="s">
        <v>58</v>
      </c>
      <c r="E37" s="2" t="s">
        <v>51</v>
      </c>
      <c r="F37" s="4">
        <v>3838.14</v>
      </c>
      <c r="G37" s="4">
        <v>1830.34</v>
      </c>
      <c r="H37" s="4">
        <v>2110.98</v>
      </c>
      <c r="I37" s="5">
        <v>15.1</v>
      </c>
      <c r="J37" s="6">
        <v>478</v>
      </c>
      <c r="K37" s="7">
        <f t="shared" si="0"/>
        <v>-280.6400000000001</v>
      </c>
    </row>
    <row r="38" spans="1:11" x14ac:dyDescent="0.2">
      <c r="A38" s="8" t="s">
        <v>63</v>
      </c>
      <c r="B38" s="8" t="s">
        <v>13</v>
      </c>
      <c r="C38" s="9" t="s">
        <v>26</v>
      </c>
      <c r="D38" s="9" t="s">
        <v>58</v>
      </c>
      <c r="E38" s="8" t="s">
        <v>51</v>
      </c>
      <c r="F38" s="10">
        <v>4179.24</v>
      </c>
      <c r="G38" s="10">
        <v>2643.72</v>
      </c>
      <c r="H38" s="10">
        <v>2925.47</v>
      </c>
      <c r="I38" s="11">
        <v>7.9</v>
      </c>
      <c r="J38" s="12">
        <v>598</v>
      </c>
      <c r="K38" s="13">
        <f t="shared" si="0"/>
        <v>-281.75</v>
      </c>
    </row>
    <row r="39" spans="1:11" x14ac:dyDescent="0.2">
      <c r="A39" s="2" t="s">
        <v>64</v>
      </c>
      <c r="B39" s="2" t="s">
        <v>13</v>
      </c>
      <c r="C39" s="3" t="s">
        <v>14</v>
      </c>
      <c r="D39" s="3" t="s">
        <v>65</v>
      </c>
      <c r="E39" s="2" t="s">
        <v>36</v>
      </c>
      <c r="F39" s="4">
        <v>21661.81</v>
      </c>
      <c r="G39" s="4">
        <v>14503.41</v>
      </c>
      <c r="H39" s="4">
        <v>15596.5</v>
      </c>
      <c r="I39" s="5">
        <v>7.3</v>
      </c>
      <c r="J39" s="6">
        <v>79</v>
      </c>
      <c r="K39" s="7">
        <f t="shared" si="0"/>
        <v>-1093.0900000000001</v>
      </c>
    </row>
    <row r="40" spans="1:11" x14ac:dyDescent="0.2">
      <c r="A40" s="8" t="s">
        <v>66</v>
      </c>
      <c r="B40" s="8" t="s">
        <v>13</v>
      </c>
      <c r="C40" s="9" t="s">
        <v>18</v>
      </c>
      <c r="D40" s="9" t="s">
        <v>65</v>
      </c>
      <c r="E40" s="8" t="s">
        <v>36</v>
      </c>
      <c r="F40" s="10">
        <v>20685.060000000001</v>
      </c>
      <c r="G40" s="10">
        <v>13043.73</v>
      </c>
      <c r="H40" s="10">
        <v>14065.84</v>
      </c>
      <c r="I40" s="11">
        <v>10.8</v>
      </c>
      <c r="J40" s="12">
        <v>77</v>
      </c>
      <c r="K40" s="13">
        <f t="shared" si="0"/>
        <v>-1022.1100000000006</v>
      </c>
    </row>
    <row r="41" spans="1:11" x14ac:dyDescent="0.2">
      <c r="A41" s="2" t="s">
        <v>67</v>
      </c>
      <c r="B41" s="2" t="s">
        <v>13</v>
      </c>
      <c r="C41" s="3" t="s">
        <v>20</v>
      </c>
      <c r="D41" s="3" t="s">
        <v>65</v>
      </c>
      <c r="E41" s="2" t="s">
        <v>36</v>
      </c>
      <c r="F41" s="4">
        <v>21727.64</v>
      </c>
      <c r="G41" s="4">
        <v>12352.68</v>
      </c>
      <c r="H41" s="4">
        <v>14122.97</v>
      </c>
      <c r="I41" s="5">
        <v>9.8000000000000007</v>
      </c>
      <c r="J41" s="6">
        <v>67</v>
      </c>
      <c r="K41" s="7">
        <f t="shared" si="0"/>
        <v>-1770.2899999999991</v>
      </c>
    </row>
    <row r="42" spans="1:11" x14ac:dyDescent="0.2">
      <c r="A42" s="8" t="s">
        <v>68</v>
      </c>
      <c r="B42" s="8" t="s">
        <v>13</v>
      </c>
      <c r="C42" s="9" t="s">
        <v>22</v>
      </c>
      <c r="D42" s="9" t="s">
        <v>65</v>
      </c>
      <c r="E42" s="8" t="s">
        <v>36</v>
      </c>
      <c r="F42" s="10">
        <v>21287.58</v>
      </c>
      <c r="G42" s="10">
        <v>15368.54</v>
      </c>
      <c r="H42" s="10">
        <v>16604.310000000001</v>
      </c>
      <c r="I42" s="11">
        <v>5.4</v>
      </c>
      <c r="J42" s="12">
        <v>67</v>
      </c>
      <c r="K42" s="13">
        <f t="shared" si="0"/>
        <v>-1235.7700000000004</v>
      </c>
    </row>
    <row r="43" spans="1:11" x14ac:dyDescent="0.2">
      <c r="A43" s="2" t="s">
        <v>69</v>
      </c>
      <c r="B43" s="2" t="s">
        <v>13</v>
      </c>
      <c r="C43" s="3" t="s">
        <v>24</v>
      </c>
      <c r="D43" s="3" t="s">
        <v>65</v>
      </c>
      <c r="E43" s="2" t="s">
        <v>36</v>
      </c>
      <c r="F43" s="4">
        <v>20112.37</v>
      </c>
      <c r="G43" s="4">
        <v>9231.11</v>
      </c>
      <c r="H43" s="4">
        <v>11061.8</v>
      </c>
      <c r="I43" s="5">
        <v>14.7</v>
      </c>
      <c r="J43" s="6">
        <v>83</v>
      </c>
      <c r="K43" s="7">
        <f t="shared" si="0"/>
        <v>-1830.6899999999987</v>
      </c>
    </row>
    <row r="44" spans="1:11" x14ac:dyDescent="0.2">
      <c r="A44" s="8" t="s">
        <v>70</v>
      </c>
      <c r="B44" s="8" t="s">
        <v>13</v>
      </c>
      <c r="C44" s="9" t="s">
        <v>26</v>
      </c>
      <c r="D44" s="9" t="s">
        <v>65</v>
      </c>
      <c r="E44" s="8" t="s">
        <v>36</v>
      </c>
      <c r="F44" s="10">
        <v>23582.400000000001</v>
      </c>
      <c r="G44" s="10">
        <v>15111.18</v>
      </c>
      <c r="H44" s="10">
        <v>16507.68</v>
      </c>
      <c r="I44" s="11">
        <v>6.5</v>
      </c>
      <c r="J44" s="12">
        <v>77</v>
      </c>
      <c r="K44" s="13">
        <f t="shared" si="0"/>
        <v>-1396.5</v>
      </c>
    </row>
    <row r="45" spans="1:11" x14ac:dyDescent="0.2">
      <c r="A45" s="2" t="s">
        <v>71</v>
      </c>
      <c r="B45" s="2" t="s">
        <v>72</v>
      </c>
      <c r="C45" s="3" t="s">
        <v>14</v>
      </c>
      <c r="D45" s="3" t="s">
        <v>15</v>
      </c>
      <c r="E45" s="2" t="s">
        <v>16</v>
      </c>
      <c r="F45" s="4">
        <v>26399.73</v>
      </c>
      <c r="G45" s="4">
        <v>18273.490000000002</v>
      </c>
      <c r="H45" s="4">
        <v>19007.810000000001</v>
      </c>
      <c r="I45" s="5">
        <v>7.1</v>
      </c>
      <c r="J45" s="6">
        <v>148</v>
      </c>
      <c r="K45" s="7">
        <f t="shared" si="0"/>
        <v>-734.31999999999971</v>
      </c>
    </row>
    <row r="46" spans="1:11" x14ac:dyDescent="0.2">
      <c r="A46" s="8" t="s">
        <v>73</v>
      </c>
      <c r="B46" s="8" t="s">
        <v>72</v>
      </c>
      <c r="C46" s="9" t="s">
        <v>18</v>
      </c>
      <c r="D46" s="9" t="s">
        <v>15</v>
      </c>
      <c r="E46" s="8" t="s">
        <v>16</v>
      </c>
      <c r="F46" s="10">
        <v>27846.959999999999</v>
      </c>
      <c r="G46" s="10">
        <v>17015.330000000002</v>
      </c>
      <c r="H46" s="10">
        <v>18935.93</v>
      </c>
      <c r="I46" s="11">
        <v>12.3</v>
      </c>
      <c r="J46" s="12">
        <v>131</v>
      </c>
      <c r="K46" s="13">
        <f t="shared" si="0"/>
        <v>-1920.5999999999985</v>
      </c>
    </row>
    <row r="47" spans="1:11" x14ac:dyDescent="0.2">
      <c r="A47" s="2" t="s">
        <v>74</v>
      </c>
      <c r="B47" s="2" t="s">
        <v>72</v>
      </c>
      <c r="C47" s="3" t="s">
        <v>20</v>
      </c>
      <c r="D47" s="3" t="s">
        <v>15</v>
      </c>
      <c r="E47" s="2" t="s">
        <v>16</v>
      </c>
      <c r="F47" s="4">
        <v>25742.81</v>
      </c>
      <c r="G47" s="4">
        <v>15050.63</v>
      </c>
      <c r="H47" s="4">
        <v>16732.830000000002</v>
      </c>
      <c r="I47" s="5">
        <v>9.5</v>
      </c>
      <c r="J47" s="6">
        <v>143</v>
      </c>
      <c r="K47" s="7">
        <f t="shared" si="0"/>
        <v>-1682.2000000000025</v>
      </c>
    </row>
    <row r="48" spans="1:11" x14ac:dyDescent="0.2">
      <c r="A48" s="8" t="s">
        <v>75</v>
      </c>
      <c r="B48" s="8" t="s">
        <v>72</v>
      </c>
      <c r="C48" s="9" t="s">
        <v>22</v>
      </c>
      <c r="D48" s="9" t="s">
        <v>15</v>
      </c>
      <c r="E48" s="8" t="s">
        <v>16</v>
      </c>
      <c r="F48" s="10">
        <v>29282.82</v>
      </c>
      <c r="G48" s="10">
        <v>22396.67</v>
      </c>
      <c r="H48" s="10">
        <v>22840.6</v>
      </c>
      <c r="I48" s="11">
        <v>5.6</v>
      </c>
      <c r="J48" s="12">
        <v>127</v>
      </c>
      <c r="K48" s="13">
        <f t="shared" si="0"/>
        <v>-443.93000000000029</v>
      </c>
    </row>
    <row r="49" spans="1:11" x14ac:dyDescent="0.2">
      <c r="A49" s="2" t="s">
        <v>76</v>
      </c>
      <c r="B49" s="2" t="s">
        <v>72</v>
      </c>
      <c r="C49" s="3" t="s">
        <v>24</v>
      </c>
      <c r="D49" s="3" t="s">
        <v>15</v>
      </c>
      <c r="E49" s="2" t="s">
        <v>16</v>
      </c>
      <c r="F49" s="4">
        <v>27454.68</v>
      </c>
      <c r="G49" s="4">
        <v>13392.87</v>
      </c>
      <c r="H49" s="4">
        <v>15100.07</v>
      </c>
      <c r="I49" s="5">
        <v>13.8</v>
      </c>
      <c r="J49" s="6">
        <v>134</v>
      </c>
      <c r="K49" s="7">
        <f t="shared" si="0"/>
        <v>-1707.1999999999989</v>
      </c>
    </row>
    <row r="50" spans="1:11" x14ac:dyDescent="0.2">
      <c r="A50" s="8" t="s">
        <v>77</v>
      </c>
      <c r="B50" s="8" t="s">
        <v>72</v>
      </c>
      <c r="C50" s="9" t="s">
        <v>26</v>
      </c>
      <c r="D50" s="9" t="s">
        <v>15</v>
      </c>
      <c r="E50" s="8" t="s">
        <v>16</v>
      </c>
      <c r="F50" s="10">
        <v>26265.17</v>
      </c>
      <c r="G50" s="10">
        <v>16882.14</v>
      </c>
      <c r="H50" s="10">
        <v>18385.62</v>
      </c>
      <c r="I50" s="11">
        <v>7.6</v>
      </c>
      <c r="J50" s="12">
        <v>135</v>
      </c>
      <c r="K50" s="13">
        <f t="shared" si="0"/>
        <v>-1503.4799999999996</v>
      </c>
    </row>
    <row r="51" spans="1:11" x14ac:dyDescent="0.2">
      <c r="A51" s="2" t="s">
        <v>78</v>
      </c>
      <c r="B51" s="2" t="s">
        <v>72</v>
      </c>
      <c r="C51" s="3" t="s">
        <v>14</v>
      </c>
      <c r="D51" s="3" t="s">
        <v>28</v>
      </c>
      <c r="E51" s="2" t="s">
        <v>16</v>
      </c>
      <c r="F51" s="4">
        <v>30398.76</v>
      </c>
      <c r="G51" s="4">
        <v>19717.72</v>
      </c>
      <c r="H51" s="4">
        <v>21887.11</v>
      </c>
      <c r="I51" s="5">
        <v>9.5</v>
      </c>
      <c r="J51" s="6">
        <v>108</v>
      </c>
      <c r="K51" s="7">
        <f t="shared" si="0"/>
        <v>-2169.3899999999994</v>
      </c>
    </row>
    <row r="52" spans="1:11" x14ac:dyDescent="0.2">
      <c r="A52" s="8" t="s">
        <v>79</v>
      </c>
      <c r="B52" s="8" t="s">
        <v>72</v>
      </c>
      <c r="C52" s="9" t="s">
        <v>18</v>
      </c>
      <c r="D52" s="9" t="s">
        <v>28</v>
      </c>
      <c r="E52" s="8" t="s">
        <v>16</v>
      </c>
      <c r="F52" s="10">
        <v>32322.080000000002</v>
      </c>
      <c r="G52" s="10">
        <v>20548.36</v>
      </c>
      <c r="H52" s="10">
        <v>21979.01</v>
      </c>
      <c r="I52" s="11">
        <v>10.1</v>
      </c>
      <c r="J52" s="12">
        <v>107</v>
      </c>
      <c r="K52" s="13">
        <f t="shared" si="0"/>
        <v>-1430.6499999999978</v>
      </c>
    </row>
    <row r="53" spans="1:11" x14ac:dyDescent="0.2">
      <c r="A53" s="2" t="s">
        <v>80</v>
      </c>
      <c r="B53" s="2" t="s">
        <v>72</v>
      </c>
      <c r="C53" s="3" t="s">
        <v>20</v>
      </c>
      <c r="D53" s="3" t="s">
        <v>28</v>
      </c>
      <c r="E53" s="2" t="s">
        <v>16</v>
      </c>
      <c r="F53" s="4">
        <v>35001.58</v>
      </c>
      <c r="G53" s="4">
        <v>20813.259999999998</v>
      </c>
      <c r="H53" s="4">
        <v>22751.03</v>
      </c>
      <c r="I53" s="5">
        <v>11</v>
      </c>
      <c r="J53" s="6">
        <v>88</v>
      </c>
      <c r="K53" s="7">
        <f t="shared" si="0"/>
        <v>-1937.7700000000004</v>
      </c>
    </row>
    <row r="54" spans="1:11" x14ac:dyDescent="0.2">
      <c r="A54" s="8" t="s">
        <v>81</v>
      </c>
      <c r="B54" s="8" t="s">
        <v>72</v>
      </c>
      <c r="C54" s="9" t="s">
        <v>22</v>
      </c>
      <c r="D54" s="9" t="s">
        <v>28</v>
      </c>
      <c r="E54" s="8" t="s">
        <v>16</v>
      </c>
      <c r="F54" s="10">
        <v>31908.1</v>
      </c>
      <c r="G54" s="10">
        <v>23654.25</v>
      </c>
      <c r="H54" s="10">
        <v>24888.32</v>
      </c>
      <c r="I54" s="11">
        <v>4.2</v>
      </c>
      <c r="J54" s="12">
        <v>85</v>
      </c>
      <c r="K54" s="13">
        <f t="shared" si="0"/>
        <v>-1234.0699999999997</v>
      </c>
    </row>
    <row r="55" spans="1:11" x14ac:dyDescent="0.2">
      <c r="A55" s="2" t="s">
        <v>82</v>
      </c>
      <c r="B55" s="2" t="s">
        <v>72</v>
      </c>
      <c r="C55" s="3" t="s">
        <v>24</v>
      </c>
      <c r="D55" s="3" t="s">
        <v>28</v>
      </c>
      <c r="E55" s="2" t="s">
        <v>16</v>
      </c>
      <c r="F55" s="4">
        <v>31225.43</v>
      </c>
      <c r="G55" s="4">
        <v>14188.88</v>
      </c>
      <c r="H55" s="4">
        <v>17173.990000000002</v>
      </c>
      <c r="I55" s="5">
        <v>15.8</v>
      </c>
      <c r="J55" s="6">
        <v>106</v>
      </c>
      <c r="K55" s="7">
        <f t="shared" si="0"/>
        <v>-2985.1100000000024</v>
      </c>
    </row>
    <row r="56" spans="1:11" x14ac:dyDescent="0.2">
      <c r="A56" s="8" t="s">
        <v>83</v>
      </c>
      <c r="B56" s="8" t="s">
        <v>72</v>
      </c>
      <c r="C56" s="9" t="s">
        <v>26</v>
      </c>
      <c r="D56" s="9" t="s">
        <v>28</v>
      </c>
      <c r="E56" s="8" t="s">
        <v>16</v>
      </c>
      <c r="F56" s="10">
        <v>31712.05</v>
      </c>
      <c r="G56" s="10">
        <v>21261.77</v>
      </c>
      <c r="H56" s="10">
        <v>22198.43</v>
      </c>
      <c r="I56" s="11">
        <v>7.6</v>
      </c>
      <c r="J56" s="12">
        <v>112</v>
      </c>
      <c r="K56" s="13">
        <f t="shared" si="0"/>
        <v>-936.65999999999985</v>
      </c>
    </row>
    <row r="57" spans="1:11" x14ac:dyDescent="0.2">
      <c r="A57" s="2" t="s">
        <v>84</v>
      </c>
      <c r="B57" s="2" t="s">
        <v>72</v>
      </c>
      <c r="C57" s="3" t="s">
        <v>14</v>
      </c>
      <c r="D57" s="3" t="s">
        <v>35</v>
      </c>
      <c r="E57" s="2" t="s">
        <v>36</v>
      </c>
      <c r="F57" s="4">
        <v>18200.77</v>
      </c>
      <c r="G57" s="4">
        <v>11608.56</v>
      </c>
      <c r="H57" s="4">
        <v>13104.55</v>
      </c>
      <c r="I57" s="5">
        <v>8.9</v>
      </c>
      <c r="J57" s="6">
        <v>58</v>
      </c>
      <c r="K57" s="7">
        <f t="shared" si="0"/>
        <v>-1495.9899999999998</v>
      </c>
    </row>
    <row r="58" spans="1:11" x14ac:dyDescent="0.2">
      <c r="A58" s="8" t="s">
        <v>85</v>
      </c>
      <c r="B58" s="8" t="s">
        <v>72</v>
      </c>
      <c r="C58" s="9" t="s">
        <v>18</v>
      </c>
      <c r="D58" s="9" t="s">
        <v>35</v>
      </c>
      <c r="E58" s="8" t="s">
        <v>36</v>
      </c>
      <c r="F58" s="10">
        <v>19687.349999999999</v>
      </c>
      <c r="G58" s="10">
        <v>11874.41</v>
      </c>
      <c r="H58" s="10">
        <v>13387.4</v>
      </c>
      <c r="I58" s="11">
        <v>11.6</v>
      </c>
      <c r="J58" s="12">
        <v>66</v>
      </c>
      <c r="K58" s="13">
        <f t="shared" si="0"/>
        <v>-1512.9899999999998</v>
      </c>
    </row>
    <row r="59" spans="1:11" x14ac:dyDescent="0.2">
      <c r="A59" s="2" t="s">
        <v>86</v>
      </c>
      <c r="B59" s="2" t="s">
        <v>72</v>
      </c>
      <c r="C59" s="3" t="s">
        <v>20</v>
      </c>
      <c r="D59" s="3" t="s">
        <v>35</v>
      </c>
      <c r="E59" s="2" t="s">
        <v>36</v>
      </c>
      <c r="F59" s="4">
        <v>16405.79</v>
      </c>
      <c r="G59" s="4">
        <v>9599.57</v>
      </c>
      <c r="H59" s="4">
        <v>10663.76</v>
      </c>
      <c r="I59" s="5">
        <v>10</v>
      </c>
      <c r="J59" s="6">
        <v>68</v>
      </c>
      <c r="K59" s="7">
        <f t="shared" si="0"/>
        <v>-1064.1900000000005</v>
      </c>
    </row>
    <row r="60" spans="1:11" x14ac:dyDescent="0.2">
      <c r="A60" s="8" t="s">
        <v>87</v>
      </c>
      <c r="B60" s="8" t="s">
        <v>72</v>
      </c>
      <c r="C60" s="9" t="s">
        <v>22</v>
      </c>
      <c r="D60" s="9" t="s">
        <v>35</v>
      </c>
      <c r="E60" s="8" t="s">
        <v>36</v>
      </c>
      <c r="F60" s="10">
        <v>16766.759999999998</v>
      </c>
      <c r="G60" s="10">
        <v>11817.24</v>
      </c>
      <c r="H60" s="10">
        <v>13078.07</v>
      </c>
      <c r="I60" s="11">
        <v>6.5</v>
      </c>
      <c r="J60" s="12">
        <v>56</v>
      </c>
      <c r="K60" s="13">
        <f t="shared" si="0"/>
        <v>-1260.83</v>
      </c>
    </row>
    <row r="61" spans="1:11" x14ac:dyDescent="0.2">
      <c r="A61" s="2" t="s">
        <v>88</v>
      </c>
      <c r="B61" s="2" t="s">
        <v>72</v>
      </c>
      <c r="C61" s="3" t="s">
        <v>24</v>
      </c>
      <c r="D61" s="3" t="s">
        <v>35</v>
      </c>
      <c r="E61" s="2" t="s">
        <v>36</v>
      </c>
      <c r="F61" s="4">
        <v>18342.13</v>
      </c>
      <c r="G61" s="4">
        <v>8413.0400000000009</v>
      </c>
      <c r="H61" s="4">
        <v>10088.17</v>
      </c>
      <c r="I61" s="5">
        <v>14.8</v>
      </c>
      <c r="J61" s="6">
        <v>54</v>
      </c>
      <c r="K61" s="7">
        <f t="shared" si="0"/>
        <v>-1675.1299999999992</v>
      </c>
    </row>
    <row r="62" spans="1:11" x14ac:dyDescent="0.2">
      <c r="A62" s="8" t="s">
        <v>89</v>
      </c>
      <c r="B62" s="8" t="s">
        <v>72</v>
      </c>
      <c r="C62" s="9" t="s">
        <v>26</v>
      </c>
      <c r="D62" s="9" t="s">
        <v>35</v>
      </c>
      <c r="E62" s="8" t="s">
        <v>36</v>
      </c>
      <c r="F62" s="10">
        <v>19405.03</v>
      </c>
      <c r="G62" s="10">
        <v>12728.2</v>
      </c>
      <c r="H62" s="10">
        <v>13583.52</v>
      </c>
      <c r="I62" s="11">
        <v>7</v>
      </c>
      <c r="J62" s="12">
        <v>64</v>
      </c>
      <c r="K62" s="13">
        <f t="shared" si="0"/>
        <v>-855.31999999999971</v>
      </c>
    </row>
    <row r="63" spans="1:11" x14ac:dyDescent="0.2">
      <c r="A63" s="2" t="s">
        <v>90</v>
      </c>
      <c r="B63" s="2" t="s">
        <v>72</v>
      </c>
      <c r="C63" s="3" t="s">
        <v>14</v>
      </c>
      <c r="D63" s="3" t="s">
        <v>43</v>
      </c>
      <c r="E63" s="2" t="s">
        <v>16</v>
      </c>
      <c r="F63" s="4">
        <v>13773.83</v>
      </c>
      <c r="G63" s="4">
        <v>9090.74</v>
      </c>
      <c r="H63" s="4">
        <v>9917.16</v>
      </c>
      <c r="I63" s="5">
        <v>8.5</v>
      </c>
      <c r="J63" s="6">
        <v>211</v>
      </c>
      <c r="K63" s="7">
        <f t="shared" si="0"/>
        <v>-826.42000000000007</v>
      </c>
    </row>
    <row r="64" spans="1:11" x14ac:dyDescent="0.2">
      <c r="A64" s="8" t="s">
        <v>91</v>
      </c>
      <c r="B64" s="8" t="s">
        <v>72</v>
      </c>
      <c r="C64" s="9" t="s">
        <v>18</v>
      </c>
      <c r="D64" s="9" t="s">
        <v>43</v>
      </c>
      <c r="E64" s="8" t="s">
        <v>16</v>
      </c>
      <c r="F64" s="10">
        <v>13171.93</v>
      </c>
      <c r="G64" s="10">
        <v>7717.3</v>
      </c>
      <c r="H64" s="10">
        <v>8956.91</v>
      </c>
      <c r="I64" s="11">
        <v>12</v>
      </c>
      <c r="J64" s="12">
        <v>181</v>
      </c>
      <c r="K64" s="13">
        <f t="shared" si="0"/>
        <v>-1239.6099999999997</v>
      </c>
    </row>
    <row r="65" spans="1:11" x14ac:dyDescent="0.2">
      <c r="A65" s="2" t="s">
        <v>92</v>
      </c>
      <c r="B65" s="2" t="s">
        <v>72</v>
      </c>
      <c r="C65" s="3" t="s">
        <v>20</v>
      </c>
      <c r="D65" s="3" t="s">
        <v>43</v>
      </c>
      <c r="E65" s="2" t="s">
        <v>16</v>
      </c>
      <c r="F65" s="4">
        <v>14480.73</v>
      </c>
      <c r="G65" s="4">
        <v>8430.11</v>
      </c>
      <c r="H65" s="4">
        <v>9412.4699999999993</v>
      </c>
      <c r="I65" s="5">
        <v>9.1</v>
      </c>
      <c r="J65" s="6">
        <v>201</v>
      </c>
      <c r="K65" s="7">
        <f t="shared" si="0"/>
        <v>-982.35999999999876</v>
      </c>
    </row>
    <row r="66" spans="1:11" x14ac:dyDescent="0.2">
      <c r="A66" s="8" t="s">
        <v>93</v>
      </c>
      <c r="B66" s="8" t="s">
        <v>72</v>
      </c>
      <c r="C66" s="9" t="s">
        <v>22</v>
      </c>
      <c r="D66" s="9" t="s">
        <v>43</v>
      </c>
      <c r="E66" s="8" t="s">
        <v>16</v>
      </c>
      <c r="F66" s="10">
        <v>12803.12</v>
      </c>
      <c r="G66" s="10">
        <v>9865.42</v>
      </c>
      <c r="H66" s="10">
        <v>9986.43</v>
      </c>
      <c r="I66" s="11">
        <v>5</v>
      </c>
      <c r="J66" s="12">
        <v>214</v>
      </c>
      <c r="K66" s="13">
        <f t="shared" si="0"/>
        <v>-121.01000000000022</v>
      </c>
    </row>
    <row r="67" spans="1:11" x14ac:dyDescent="0.2">
      <c r="A67" s="2" t="s">
        <v>94</v>
      </c>
      <c r="B67" s="2" t="s">
        <v>72</v>
      </c>
      <c r="C67" s="3" t="s">
        <v>24</v>
      </c>
      <c r="D67" s="3" t="s">
        <v>43</v>
      </c>
      <c r="E67" s="2" t="s">
        <v>16</v>
      </c>
      <c r="F67" s="4">
        <v>12805.13</v>
      </c>
      <c r="G67" s="4">
        <v>5984.52</v>
      </c>
      <c r="H67" s="4">
        <v>7042.82</v>
      </c>
      <c r="I67" s="5">
        <v>13.4</v>
      </c>
      <c r="J67" s="6">
        <v>211</v>
      </c>
      <c r="K67" s="7">
        <f t="shared" ref="K67:K130" si="1">G67-H67</f>
        <v>-1058.2999999999993</v>
      </c>
    </row>
    <row r="68" spans="1:11" x14ac:dyDescent="0.2">
      <c r="A68" s="8" t="s">
        <v>95</v>
      </c>
      <c r="B68" s="8" t="s">
        <v>72</v>
      </c>
      <c r="C68" s="9" t="s">
        <v>26</v>
      </c>
      <c r="D68" s="9" t="s">
        <v>43</v>
      </c>
      <c r="E68" s="8" t="s">
        <v>16</v>
      </c>
      <c r="F68" s="10">
        <v>15066.42</v>
      </c>
      <c r="G68" s="10">
        <v>9507.57</v>
      </c>
      <c r="H68" s="10">
        <v>10546.49</v>
      </c>
      <c r="I68" s="11">
        <v>8.9</v>
      </c>
      <c r="J68" s="12">
        <v>167</v>
      </c>
      <c r="K68" s="13">
        <f t="shared" si="1"/>
        <v>-1038.92</v>
      </c>
    </row>
    <row r="69" spans="1:11" x14ac:dyDescent="0.2">
      <c r="A69" s="2" t="s">
        <v>96</v>
      </c>
      <c r="B69" s="2" t="s">
        <v>72</v>
      </c>
      <c r="C69" s="3" t="s">
        <v>14</v>
      </c>
      <c r="D69" s="3" t="s">
        <v>50</v>
      </c>
      <c r="E69" s="2" t="s">
        <v>51</v>
      </c>
      <c r="F69" s="4">
        <v>6933.87</v>
      </c>
      <c r="G69" s="4">
        <v>4593.74</v>
      </c>
      <c r="H69" s="4">
        <v>4992.3900000000003</v>
      </c>
      <c r="I69" s="5">
        <v>8.8000000000000007</v>
      </c>
      <c r="J69" s="6">
        <v>472</v>
      </c>
      <c r="K69" s="7">
        <f t="shared" si="1"/>
        <v>-398.65000000000055</v>
      </c>
    </row>
    <row r="70" spans="1:11" x14ac:dyDescent="0.2">
      <c r="A70" s="8" t="s">
        <v>97</v>
      </c>
      <c r="B70" s="8" t="s">
        <v>72</v>
      </c>
      <c r="C70" s="9" t="s">
        <v>18</v>
      </c>
      <c r="D70" s="9" t="s">
        <v>50</v>
      </c>
      <c r="E70" s="8" t="s">
        <v>51</v>
      </c>
      <c r="F70" s="10">
        <v>6700.17</v>
      </c>
      <c r="G70" s="10">
        <v>4209.2</v>
      </c>
      <c r="H70" s="10">
        <v>4556.12</v>
      </c>
      <c r="I70" s="11">
        <v>9.9</v>
      </c>
      <c r="J70" s="12">
        <v>387</v>
      </c>
      <c r="K70" s="13">
        <f t="shared" si="1"/>
        <v>-346.92000000000007</v>
      </c>
    </row>
    <row r="71" spans="1:11" x14ac:dyDescent="0.2">
      <c r="A71" s="2" t="s">
        <v>98</v>
      </c>
      <c r="B71" s="2" t="s">
        <v>72</v>
      </c>
      <c r="C71" s="3" t="s">
        <v>20</v>
      </c>
      <c r="D71" s="3" t="s">
        <v>50</v>
      </c>
      <c r="E71" s="2" t="s">
        <v>51</v>
      </c>
      <c r="F71" s="4">
        <v>6712.41</v>
      </c>
      <c r="G71" s="4">
        <v>3769.52</v>
      </c>
      <c r="H71" s="4">
        <v>4363.07</v>
      </c>
      <c r="I71" s="5">
        <v>11</v>
      </c>
      <c r="J71" s="6">
        <v>364</v>
      </c>
      <c r="K71" s="7">
        <f t="shared" si="1"/>
        <v>-593.54999999999973</v>
      </c>
    </row>
    <row r="72" spans="1:11" x14ac:dyDescent="0.2">
      <c r="A72" s="8" t="s">
        <v>99</v>
      </c>
      <c r="B72" s="8" t="s">
        <v>72</v>
      </c>
      <c r="C72" s="9" t="s">
        <v>22</v>
      </c>
      <c r="D72" s="9" t="s">
        <v>50</v>
      </c>
      <c r="E72" s="8" t="s">
        <v>51</v>
      </c>
      <c r="F72" s="10">
        <v>5989.15</v>
      </c>
      <c r="G72" s="10">
        <v>4343.38</v>
      </c>
      <c r="H72" s="10">
        <v>4671.54</v>
      </c>
      <c r="I72" s="11">
        <v>5.3</v>
      </c>
      <c r="J72" s="12">
        <v>424</v>
      </c>
      <c r="K72" s="13">
        <f t="shared" si="1"/>
        <v>-328.15999999999985</v>
      </c>
    </row>
    <row r="73" spans="1:11" x14ac:dyDescent="0.2">
      <c r="A73" s="2" t="s">
        <v>100</v>
      </c>
      <c r="B73" s="2" t="s">
        <v>72</v>
      </c>
      <c r="C73" s="3" t="s">
        <v>24</v>
      </c>
      <c r="D73" s="3" t="s">
        <v>50</v>
      </c>
      <c r="E73" s="2" t="s">
        <v>51</v>
      </c>
      <c r="F73" s="4">
        <v>6782.9</v>
      </c>
      <c r="G73" s="4">
        <v>3265.39</v>
      </c>
      <c r="H73" s="4">
        <v>3730.6</v>
      </c>
      <c r="I73" s="5">
        <v>13.4</v>
      </c>
      <c r="J73" s="6">
        <v>382</v>
      </c>
      <c r="K73" s="7">
        <f t="shared" si="1"/>
        <v>-465.21000000000004</v>
      </c>
    </row>
    <row r="74" spans="1:11" x14ac:dyDescent="0.2">
      <c r="A74" s="8" t="s">
        <v>101</v>
      </c>
      <c r="B74" s="8" t="s">
        <v>72</v>
      </c>
      <c r="C74" s="9" t="s">
        <v>26</v>
      </c>
      <c r="D74" s="9" t="s">
        <v>50</v>
      </c>
      <c r="E74" s="8" t="s">
        <v>51</v>
      </c>
      <c r="F74" s="10">
        <v>6485.09</v>
      </c>
      <c r="G74" s="10">
        <v>4245.38</v>
      </c>
      <c r="H74" s="10">
        <v>4539.5600000000004</v>
      </c>
      <c r="I74" s="11">
        <v>9</v>
      </c>
      <c r="J74" s="12">
        <v>361</v>
      </c>
      <c r="K74" s="13">
        <f t="shared" si="1"/>
        <v>-294.18000000000029</v>
      </c>
    </row>
    <row r="75" spans="1:11" x14ac:dyDescent="0.2">
      <c r="A75" s="2" t="s">
        <v>102</v>
      </c>
      <c r="B75" s="2" t="s">
        <v>72</v>
      </c>
      <c r="C75" s="3" t="s">
        <v>14</v>
      </c>
      <c r="D75" s="3" t="s">
        <v>58</v>
      </c>
      <c r="E75" s="2" t="s">
        <v>51</v>
      </c>
      <c r="F75" s="4">
        <v>4135.8</v>
      </c>
      <c r="G75" s="4">
        <v>2645.05</v>
      </c>
      <c r="H75" s="4">
        <v>2977.78</v>
      </c>
      <c r="I75" s="5">
        <v>7.5</v>
      </c>
      <c r="J75" s="6">
        <v>581</v>
      </c>
      <c r="K75" s="7">
        <f t="shared" si="1"/>
        <v>-332.73</v>
      </c>
    </row>
    <row r="76" spans="1:11" x14ac:dyDescent="0.2">
      <c r="A76" s="8" t="s">
        <v>103</v>
      </c>
      <c r="B76" s="8" t="s">
        <v>72</v>
      </c>
      <c r="C76" s="9" t="s">
        <v>18</v>
      </c>
      <c r="D76" s="9" t="s">
        <v>58</v>
      </c>
      <c r="E76" s="8" t="s">
        <v>51</v>
      </c>
      <c r="F76" s="10">
        <v>4315.18</v>
      </c>
      <c r="G76" s="10">
        <v>2670.92</v>
      </c>
      <c r="H76" s="10">
        <v>2934.32</v>
      </c>
      <c r="I76" s="11">
        <v>10.7</v>
      </c>
      <c r="J76" s="12">
        <v>546</v>
      </c>
      <c r="K76" s="13">
        <f t="shared" si="1"/>
        <v>-263.40000000000009</v>
      </c>
    </row>
    <row r="77" spans="1:11" x14ac:dyDescent="0.2">
      <c r="A77" s="2" t="s">
        <v>104</v>
      </c>
      <c r="B77" s="2" t="s">
        <v>72</v>
      </c>
      <c r="C77" s="3" t="s">
        <v>20</v>
      </c>
      <c r="D77" s="3" t="s">
        <v>58</v>
      </c>
      <c r="E77" s="2" t="s">
        <v>51</v>
      </c>
      <c r="F77" s="4">
        <v>4139.26</v>
      </c>
      <c r="G77" s="4">
        <v>2385.9699999999998</v>
      </c>
      <c r="H77" s="4">
        <v>2690.52</v>
      </c>
      <c r="I77" s="5">
        <v>8.1999999999999993</v>
      </c>
      <c r="J77" s="6">
        <v>599</v>
      </c>
      <c r="K77" s="7">
        <f t="shared" si="1"/>
        <v>-304.55000000000018</v>
      </c>
    </row>
    <row r="78" spans="1:11" x14ac:dyDescent="0.2">
      <c r="A78" s="8" t="s">
        <v>105</v>
      </c>
      <c r="B78" s="8" t="s">
        <v>72</v>
      </c>
      <c r="C78" s="9" t="s">
        <v>22</v>
      </c>
      <c r="D78" s="9" t="s">
        <v>58</v>
      </c>
      <c r="E78" s="8" t="s">
        <v>51</v>
      </c>
      <c r="F78" s="10">
        <v>4539.3</v>
      </c>
      <c r="G78" s="10">
        <v>3446.38</v>
      </c>
      <c r="H78" s="10">
        <v>3540.65</v>
      </c>
      <c r="I78" s="11">
        <v>5.2</v>
      </c>
      <c r="J78" s="12">
        <v>551</v>
      </c>
      <c r="K78" s="13">
        <f t="shared" si="1"/>
        <v>-94.269999999999982</v>
      </c>
    </row>
    <row r="79" spans="1:11" x14ac:dyDescent="0.2">
      <c r="A79" s="2" t="s">
        <v>106</v>
      </c>
      <c r="B79" s="2" t="s">
        <v>72</v>
      </c>
      <c r="C79" s="3" t="s">
        <v>24</v>
      </c>
      <c r="D79" s="3" t="s">
        <v>58</v>
      </c>
      <c r="E79" s="2" t="s">
        <v>51</v>
      </c>
      <c r="F79" s="4">
        <v>3904.4</v>
      </c>
      <c r="G79" s="4">
        <v>1835.37</v>
      </c>
      <c r="H79" s="4">
        <v>2147.42</v>
      </c>
      <c r="I79" s="5">
        <v>13.2</v>
      </c>
      <c r="J79" s="6">
        <v>602</v>
      </c>
      <c r="K79" s="7">
        <f t="shared" si="1"/>
        <v>-312.05000000000018</v>
      </c>
    </row>
    <row r="80" spans="1:11" x14ac:dyDescent="0.2">
      <c r="A80" s="8" t="s">
        <v>107</v>
      </c>
      <c r="B80" s="8" t="s">
        <v>72</v>
      </c>
      <c r="C80" s="9" t="s">
        <v>26</v>
      </c>
      <c r="D80" s="9" t="s">
        <v>58</v>
      </c>
      <c r="E80" s="8" t="s">
        <v>51</v>
      </c>
      <c r="F80" s="10">
        <v>4448.74</v>
      </c>
      <c r="G80" s="10">
        <v>2927.5</v>
      </c>
      <c r="H80" s="10">
        <v>3114.12</v>
      </c>
      <c r="I80" s="11">
        <v>8.9</v>
      </c>
      <c r="J80" s="12">
        <v>491</v>
      </c>
      <c r="K80" s="13">
        <f t="shared" si="1"/>
        <v>-186.61999999999989</v>
      </c>
    </row>
    <row r="81" spans="1:11" x14ac:dyDescent="0.2">
      <c r="A81" s="2" t="s">
        <v>108</v>
      </c>
      <c r="B81" s="2" t="s">
        <v>72</v>
      </c>
      <c r="C81" s="3" t="s">
        <v>14</v>
      </c>
      <c r="D81" s="3" t="s">
        <v>65</v>
      </c>
      <c r="E81" s="2" t="s">
        <v>36</v>
      </c>
      <c r="F81" s="4">
        <v>20897.93</v>
      </c>
      <c r="G81" s="4">
        <v>14306.83</v>
      </c>
      <c r="H81" s="4">
        <v>15046.51</v>
      </c>
      <c r="I81" s="5">
        <v>7</v>
      </c>
      <c r="J81" s="6">
        <v>82</v>
      </c>
      <c r="K81" s="7">
        <f t="shared" si="1"/>
        <v>-739.68000000000029</v>
      </c>
    </row>
    <row r="82" spans="1:11" x14ac:dyDescent="0.2">
      <c r="A82" s="8" t="s">
        <v>109</v>
      </c>
      <c r="B82" s="8" t="s">
        <v>72</v>
      </c>
      <c r="C82" s="9" t="s">
        <v>18</v>
      </c>
      <c r="D82" s="9" t="s">
        <v>65</v>
      </c>
      <c r="E82" s="8" t="s">
        <v>36</v>
      </c>
      <c r="F82" s="10">
        <v>21588.06</v>
      </c>
      <c r="G82" s="10">
        <v>12589.84</v>
      </c>
      <c r="H82" s="10">
        <v>14679.88</v>
      </c>
      <c r="I82" s="11">
        <v>11.8</v>
      </c>
      <c r="J82" s="12">
        <v>83</v>
      </c>
      <c r="K82" s="13">
        <f t="shared" si="1"/>
        <v>-2090.0399999999991</v>
      </c>
    </row>
    <row r="83" spans="1:11" x14ac:dyDescent="0.2">
      <c r="A83" s="2" t="s">
        <v>110</v>
      </c>
      <c r="B83" s="2" t="s">
        <v>72</v>
      </c>
      <c r="C83" s="3" t="s">
        <v>20</v>
      </c>
      <c r="D83" s="3" t="s">
        <v>65</v>
      </c>
      <c r="E83" s="2" t="s">
        <v>36</v>
      </c>
      <c r="F83" s="4">
        <v>23604.27</v>
      </c>
      <c r="G83" s="4">
        <v>13978.84</v>
      </c>
      <c r="H83" s="4">
        <v>15342.78</v>
      </c>
      <c r="I83" s="5">
        <v>11.1</v>
      </c>
      <c r="J83" s="6">
        <v>82</v>
      </c>
      <c r="K83" s="7">
        <f t="shared" si="1"/>
        <v>-1363.9400000000005</v>
      </c>
    </row>
    <row r="84" spans="1:11" x14ac:dyDescent="0.2">
      <c r="A84" s="8" t="s">
        <v>111</v>
      </c>
      <c r="B84" s="8" t="s">
        <v>72</v>
      </c>
      <c r="C84" s="9" t="s">
        <v>22</v>
      </c>
      <c r="D84" s="9" t="s">
        <v>65</v>
      </c>
      <c r="E84" s="8" t="s">
        <v>36</v>
      </c>
      <c r="F84" s="10">
        <v>19909.060000000001</v>
      </c>
      <c r="G84" s="10">
        <v>14432</v>
      </c>
      <c r="H84" s="10">
        <v>15529.07</v>
      </c>
      <c r="I84" s="11">
        <v>5.8</v>
      </c>
      <c r="J84" s="12">
        <v>83</v>
      </c>
      <c r="K84" s="13">
        <f t="shared" si="1"/>
        <v>-1097.0699999999997</v>
      </c>
    </row>
    <row r="85" spans="1:11" x14ac:dyDescent="0.2">
      <c r="A85" s="2" t="s">
        <v>112</v>
      </c>
      <c r="B85" s="2" t="s">
        <v>72</v>
      </c>
      <c r="C85" s="3" t="s">
        <v>24</v>
      </c>
      <c r="D85" s="3" t="s">
        <v>65</v>
      </c>
      <c r="E85" s="2" t="s">
        <v>36</v>
      </c>
      <c r="F85" s="4">
        <v>23329.83</v>
      </c>
      <c r="G85" s="4">
        <v>11125.24</v>
      </c>
      <c r="H85" s="4">
        <v>12831.41</v>
      </c>
      <c r="I85" s="5">
        <v>15.4</v>
      </c>
      <c r="J85" s="6">
        <v>68</v>
      </c>
      <c r="K85" s="7">
        <f t="shared" si="1"/>
        <v>-1706.17</v>
      </c>
    </row>
    <row r="86" spans="1:11" x14ac:dyDescent="0.2">
      <c r="A86" s="8" t="s">
        <v>113</v>
      </c>
      <c r="B86" s="8" t="s">
        <v>72</v>
      </c>
      <c r="C86" s="9" t="s">
        <v>26</v>
      </c>
      <c r="D86" s="9" t="s">
        <v>65</v>
      </c>
      <c r="E86" s="8" t="s">
        <v>36</v>
      </c>
      <c r="F86" s="10">
        <v>23264.45</v>
      </c>
      <c r="G86" s="10">
        <v>15663.15</v>
      </c>
      <c r="H86" s="10">
        <v>16285.11</v>
      </c>
      <c r="I86" s="11">
        <v>6.6</v>
      </c>
      <c r="J86" s="12">
        <v>81</v>
      </c>
      <c r="K86" s="13">
        <f t="shared" si="1"/>
        <v>-621.96000000000095</v>
      </c>
    </row>
    <row r="87" spans="1:11" x14ac:dyDescent="0.2">
      <c r="A87" s="2" t="s">
        <v>114</v>
      </c>
      <c r="B87" s="2" t="s">
        <v>115</v>
      </c>
      <c r="C87" s="3" t="s">
        <v>14</v>
      </c>
      <c r="D87" s="3" t="s">
        <v>15</v>
      </c>
      <c r="E87" s="2" t="s">
        <v>16</v>
      </c>
      <c r="F87" s="4">
        <v>26445.63</v>
      </c>
      <c r="G87" s="4">
        <v>17253.169999999998</v>
      </c>
      <c r="H87" s="4">
        <v>19040.849999999999</v>
      </c>
      <c r="I87" s="5">
        <v>9.1</v>
      </c>
      <c r="J87" s="6">
        <v>136</v>
      </c>
      <c r="K87" s="7">
        <f t="shared" si="1"/>
        <v>-1787.6800000000003</v>
      </c>
    </row>
    <row r="88" spans="1:11" x14ac:dyDescent="0.2">
      <c r="A88" s="8" t="s">
        <v>116</v>
      </c>
      <c r="B88" s="8" t="s">
        <v>115</v>
      </c>
      <c r="C88" s="9" t="s">
        <v>18</v>
      </c>
      <c r="D88" s="9" t="s">
        <v>15</v>
      </c>
      <c r="E88" s="8" t="s">
        <v>16</v>
      </c>
      <c r="F88" s="10">
        <v>29653.93</v>
      </c>
      <c r="G88" s="10">
        <v>17340.25</v>
      </c>
      <c r="H88" s="10">
        <v>20164.669999999998</v>
      </c>
      <c r="I88" s="11">
        <v>10.6</v>
      </c>
      <c r="J88" s="12">
        <v>131</v>
      </c>
      <c r="K88" s="13">
        <f t="shared" si="1"/>
        <v>-2824.4199999999983</v>
      </c>
    </row>
    <row r="89" spans="1:11" x14ac:dyDescent="0.2">
      <c r="A89" s="2" t="s">
        <v>117</v>
      </c>
      <c r="B89" s="2" t="s">
        <v>115</v>
      </c>
      <c r="C89" s="3" t="s">
        <v>20</v>
      </c>
      <c r="D89" s="3" t="s">
        <v>15</v>
      </c>
      <c r="E89" s="2" t="s">
        <v>16</v>
      </c>
      <c r="F89" s="4">
        <v>27038.27</v>
      </c>
      <c r="G89" s="4">
        <v>16262.34</v>
      </c>
      <c r="H89" s="4">
        <v>17574.88</v>
      </c>
      <c r="I89" s="5">
        <v>10.8</v>
      </c>
      <c r="J89" s="6">
        <v>135</v>
      </c>
      <c r="K89" s="7">
        <f t="shared" si="1"/>
        <v>-1312.5400000000009</v>
      </c>
    </row>
    <row r="90" spans="1:11" x14ac:dyDescent="0.2">
      <c r="A90" s="8" t="s">
        <v>118</v>
      </c>
      <c r="B90" s="8" t="s">
        <v>115</v>
      </c>
      <c r="C90" s="9" t="s">
        <v>22</v>
      </c>
      <c r="D90" s="9" t="s">
        <v>15</v>
      </c>
      <c r="E90" s="8" t="s">
        <v>16</v>
      </c>
      <c r="F90" s="10">
        <v>28792.3</v>
      </c>
      <c r="G90" s="10">
        <v>22202.97</v>
      </c>
      <c r="H90" s="10">
        <v>22457.99</v>
      </c>
      <c r="I90" s="11">
        <v>4.8</v>
      </c>
      <c r="J90" s="12">
        <v>146</v>
      </c>
      <c r="K90" s="13">
        <f t="shared" si="1"/>
        <v>-255.02000000000044</v>
      </c>
    </row>
    <row r="91" spans="1:11" x14ac:dyDescent="0.2">
      <c r="A91" s="2" t="s">
        <v>119</v>
      </c>
      <c r="B91" s="2" t="s">
        <v>115</v>
      </c>
      <c r="C91" s="3" t="s">
        <v>24</v>
      </c>
      <c r="D91" s="3" t="s">
        <v>15</v>
      </c>
      <c r="E91" s="2" t="s">
        <v>16</v>
      </c>
      <c r="F91" s="4">
        <v>30459.73</v>
      </c>
      <c r="G91" s="4">
        <v>15106.08</v>
      </c>
      <c r="H91" s="4">
        <v>16752.849999999999</v>
      </c>
      <c r="I91" s="5">
        <v>13.1</v>
      </c>
      <c r="J91" s="6">
        <v>131</v>
      </c>
      <c r="K91" s="7">
        <f t="shared" si="1"/>
        <v>-1646.7699999999986</v>
      </c>
    </row>
    <row r="92" spans="1:11" x14ac:dyDescent="0.2">
      <c r="A92" s="8" t="s">
        <v>120</v>
      </c>
      <c r="B92" s="8" t="s">
        <v>115</v>
      </c>
      <c r="C92" s="9" t="s">
        <v>26</v>
      </c>
      <c r="D92" s="9" t="s">
        <v>15</v>
      </c>
      <c r="E92" s="8" t="s">
        <v>16</v>
      </c>
      <c r="F92" s="10">
        <v>30590.19</v>
      </c>
      <c r="G92" s="10">
        <v>19269.599999999999</v>
      </c>
      <c r="H92" s="10">
        <v>21413.13</v>
      </c>
      <c r="I92" s="11">
        <v>7.1</v>
      </c>
      <c r="J92" s="12">
        <v>142</v>
      </c>
      <c r="K92" s="13">
        <f t="shared" si="1"/>
        <v>-2143.5300000000025</v>
      </c>
    </row>
    <row r="93" spans="1:11" x14ac:dyDescent="0.2">
      <c r="A93" s="2" t="s">
        <v>121</v>
      </c>
      <c r="B93" s="2" t="s">
        <v>115</v>
      </c>
      <c r="C93" s="3" t="s">
        <v>14</v>
      </c>
      <c r="D93" s="3" t="s">
        <v>28</v>
      </c>
      <c r="E93" s="2" t="s">
        <v>16</v>
      </c>
      <c r="F93" s="4">
        <v>33462.69</v>
      </c>
      <c r="G93" s="4">
        <v>22451.22</v>
      </c>
      <c r="H93" s="4">
        <v>24093.14</v>
      </c>
      <c r="I93" s="5">
        <v>7.6</v>
      </c>
      <c r="J93" s="6">
        <v>98</v>
      </c>
      <c r="K93" s="7">
        <f t="shared" si="1"/>
        <v>-1641.9199999999983</v>
      </c>
    </row>
    <row r="94" spans="1:11" x14ac:dyDescent="0.2">
      <c r="A94" s="8" t="s">
        <v>122</v>
      </c>
      <c r="B94" s="8" t="s">
        <v>115</v>
      </c>
      <c r="C94" s="9" t="s">
        <v>18</v>
      </c>
      <c r="D94" s="9" t="s">
        <v>28</v>
      </c>
      <c r="E94" s="8" t="s">
        <v>16</v>
      </c>
      <c r="F94" s="10">
        <v>31265.25</v>
      </c>
      <c r="G94" s="10">
        <v>18425.38</v>
      </c>
      <c r="H94" s="10">
        <v>21260.37</v>
      </c>
      <c r="I94" s="11">
        <v>11.6</v>
      </c>
      <c r="J94" s="12">
        <v>104</v>
      </c>
      <c r="K94" s="13">
        <f t="shared" si="1"/>
        <v>-2834.989999999998</v>
      </c>
    </row>
    <row r="95" spans="1:11" x14ac:dyDescent="0.2">
      <c r="A95" s="2" t="s">
        <v>123</v>
      </c>
      <c r="B95" s="2" t="s">
        <v>115</v>
      </c>
      <c r="C95" s="3" t="s">
        <v>20</v>
      </c>
      <c r="D95" s="3" t="s">
        <v>28</v>
      </c>
      <c r="E95" s="2" t="s">
        <v>16</v>
      </c>
      <c r="F95" s="4">
        <v>28810.82</v>
      </c>
      <c r="G95" s="4">
        <v>16718.330000000002</v>
      </c>
      <c r="H95" s="4">
        <v>18727.03</v>
      </c>
      <c r="I95" s="5">
        <v>11</v>
      </c>
      <c r="J95" s="6">
        <v>104</v>
      </c>
      <c r="K95" s="7">
        <f t="shared" si="1"/>
        <v>-2008.6999999999971</v>
      </c>
    </row>
    <row r="96" spans="1:11" x14ac:dyDescent="0.2">
      <c r="A96" s="8" t="s">
        <v>124</v>
      </c>
      <c r="B96" s="8" t="s">
        <v>115</v>
      </c>
      <c r="C96" s="9" t="s">
        <v>22</v>
      </c>
      <c r="D96" s="9" t="s">
        <v>28</v>
      </c>
      <c r="E96" s="8" t="s">
        <v>16</v>
      </c>
      <c r="F96" s="10">
        <v>33548.480000000003</v>
      </c>
      <c r="G96" s="10">
        <v>24434.09</v>
      </c>
      <c r="H96" s="10">
        <v>26167.81</v>
      </c>
      <c r="I96" s="11">
        <v>5.6</v>
      </c>
      <c r="J96" s="12">
        <v>85</v>
      </c>
      <c r="K96" s="13">
        <f t="shared" si="1"/>
        <v>-1733.7200000000012</v>
      </c>
    </row>
    <row r="97" spans="1:11" x14ac:dyDescent="0.2">
      <c r="A97" s="2" t="s">
        <v>125</v>
      </c>
      <c r="B97" s="2" t="s">
        <v>115</v>
      </c>
      <c r="C97" s="3" t="s">
        <v>24</v>
      </c>
      <c r="D97" s="3" t="s">
        <v>28</v>
      </c>
      <c r="E97" s="2" t="s">
        <v>16</v>
      </c>
      <c r="F97" s="4">
        <v>33051.120000000003</v>
      </c>
      <c r="G97" s="4">
        <v>15436.27</v>
      </c>
      <c r="H97" s="4">
        <v>18178.12</v>
      </c>
      <c r="I97" s="5">
        <v>13.8</v>
      </c>
      <c r="J97" s="6">
        <v>108</v>
      </c>
      <c r="K97" s="7">
        <f t="shared" si="1"/>
        <v>-2741.8499999999985</v>
      </c>
    </row>
    <row r="98" spans="1:11" x14ac:dyDescent="0.2">
      <c r="A98" s="8" t="s">
        <v>126</v>
      </c>
      <c r="B98" s="8" t="s">
        <v>115</v>
      </c>
      <c r="C98" s="9" t="s">
        <v>26</v>
      </c>
      <c r="D98" s="9" t="s">
        <v>28</v>
      </c>
      <c r="E98" s="8" t="s">
        <v>16</v>
      </c>
      <c r="F98" s="10">
        <v>33406.43</v>
      </c>
      <c r="G98" s="10">
        <v>21369.72</v>
      </c>
      <c r="H98" s="10">
        <v>23384.5</v>
      </c>
      <c r="I98" s="11">
        <v>7.2</v>
      </c>
      <c r="J98" s="12">
        <v>95</v>
      </c>
      <c r="K98" s="13">
        <f t="shared" si="1"/>
        <v>-2014.7799999999988</v>
      </c>
    </row>
    <row r="99" spans="1:11" x14ac:dyDescent="0.2">
      <c r="A99" s="2" t="s">
        <v>127</v>
      </c>
      <c r="B99" s="2" t="s">
        <v>115</v>
      </c>
      <c r="C99" s="3" t="s">
        <v>14</v>
      </c>
      <c r="D99" s="3" t="s">
        <v>35</v>
      </c>
      <c r="E99" s="2" t="s">
        <v>36</v>
      </c>
      <c r="F99" s="4">
        <v>17648.64</v>
      </c>
      <c r="G99" s="4">
        <v>11391.2</v>
      </c>
      <c r="H99" s="4">
        <v>12707.02</v>
      </c>
      <c r="I99" s="5">
        <v>7.6</v>
      </c>
      <c r="J99" s="6">
        <v>60</v>
      </c>
      <c r="K99" s="7">
        <f t="shared" si="1"/>
        <v>-1315.8199999999997</v>
      </c>
    </row>
    <row r="100" spans="1:11" x14ac:dyDescent="0.2">
      <c r="A100" s="8" t="s">
        <v>128</v>
      </c>
      <c r="B100" s="8" t="s">
        <v>115</v>
      </c>
      <c r="C100" s="9" t="s">
        <v>18</v>
      </c>
      <c r="D100" s="9" t="s">
        <v>35</v>
      </c>
      <c r="E100" s="8" t="s">
        <v>36</v>
      </c>
      <c r="F100" s="10">
        <v>19585.310000000001</v>
      </c>
      <c r="G100" s="10">
        <v>12111.26</v>
      </c>
      <c r="H100" s="10">
        <v>13318.01</v>
      </c>
      <c r="I100" s="11">
        <v>11.9</v>
      </c>
      <c r="J100" s="12">
        <v>64</v>
      </c>
      <c r="K100" s="13">
        <f t="shared" si="1"/>
        <v>-1206.75</v>
      </c>
    </row>
    <row r="101" spans="1:11" x14ac:dyDescent="0.2">
      <c r="A101" s="2" t="s">
        <v>129</v>
      </c>
      <c r="B101" s="2" t="s">
        <v>115</v>
      </c>
      <c r="C101" s="3" t="s">
        <v>20</v>
      </c>
      <c r="D101" s="3" t="s">
        <v>35</v>
      </c>
      <c r="E101" s="2" t="s">
        <v>36</v>
      </c>
      <c r="F101" s="4">
        <v>17283.419999999998</v>
      </c>
      <c r="G101" s="4">
        <v>9728.26</v>
      </c>
      <c r="H101" s="4">
        <v>11234.22</v>
      </c>
      <c r="I101" s="5">
        <v>9.8000000000000007</v>
      </c>
      <c r="J101" s="6">
        <v>58</v>
      </c>
      <c r="K101" s="7">
        <f t="shared" si="1"/>
        <v>-1505.9599999999991</v>
      </c>
    </row>
    <row r="102" spans="1:11" x14ac:dyDescent="0.2">
      <c r="A102" s="8" t="s">
        <v>130</v>
      </c>
      <c r="B102" s="8" t="s">
        <v>115</v>
      </c>
      <c r="C102" s="9" t="s">
        <v>22</v>
      </c>
      <c r="D102" s="9" t="s">
        <v>35</v>
      </c>
      <c r="E102" s="8" t="s">
        <v>36</v>
      </c>
      <c r="F102" s="10">
        <v>17747.599999999999</v>
      </c>
      <c r="G102" s="10">
        <v>13271.69</v>
      </c>
      <c r="H102" s="10">
        <v>13843.13</v>
      </c>
      <c r="I102" s="11">
        <v>5.3</v>
      </c>
      <c r="J102" s="12">
        <v>61</v>
      </c>
      <c r="K102" s="13">
        <f t="shared" si="1"/>
        <v>-571.43999999999869</v>
      </c>
    </row>
    <row r="103" spans="1:11" x14ac:dyDescent="0.2">
      <c r="A103" s="2" t="s">
        <v>131</v>
      </c>
      <c r="B103" s="2" t="s">
        <v>115</v>
      </c>
      <c r="C103" s="3" t="s">
        <v>24</v>
      </c>
      <c r="D103" s="3" t="s">
        <v>35</v>
      </c>
      <c r="E103" s="2" t="s">
        <v>36</v>
      </c>
      <c r="F103" s="4">
        <v>17791.78</v>
      </c>
      <c r="G103" s="4">
        <v>8456.0499999999993</v>
      </c>
      <c r="H103" s="4">
        <v>9785.48</v>
      </c>
      <c r="I103" s="5">
        <v>13.4</v>
      </c>
      <c r="J103" s="6">
        <v>69</v>
      </c>
      <c r="K103" s="7">
        <f t="shared" si="1"/>
        <v>-1329.4300000000003</v>
      </c>
    </row>
    <row r="104" spans="1:11" x14ac:dyDescent="0.2">
      <c r="A104" s="8" t="s">
        <v>132</v>
      </c>
      <c r="B104" s="8" t="s">
        <v>115</v>
      </c>
      <c r="C104" s="9" t="s">
        <v>26</v>
      </c>
      <c r="D104" s="9" t="s">
        <v>35</v>
      </c>
      <c r="E104" s="8" t="s">
        <v>36</v>
      </c>
      <c r="F104" s="10">
        <v>19065.689999999999</v>
      </c>
      <c r="G104" s="10">
        <v>12025.29</v>
      </c>
      <c r="H104" s="10">
        <v>13345.98</v>
      </c>
      <c r="I104" s="11">
        <v>6.8</v>
      </c>
      <c r="J104" s="12">
        <v>62</v>
      </c>
      <c r="K104" s="13">
        <f t="shared" si="1"/>
        <v>-1320.6899999999987</v>
      </c>
    </row>
    <row r="105" spans="1:11" x14ac:dyDescent="0.2">
      <c r="A105" s="2" t="s">
        <v>133</v>
      </c>
      <c r="B105" s="2" t="s">
        <v>115</v>
      </c>
      <c r="C105" s="3" t="s">
        <v>14</v>
      </c>
      <c r="D105" s="3" t="s">
        <v>43</v>
      </c>
      <c r="E105" s="2" t="s">
        <v>16</v>
      </c>
      <c r="F105" s="4">
        <v>14372.23</v>
      </c>
      <c r="G105" s="4">
        <v>9794.52</v>
      </c>
      <c r="H105" s="4">
        <v>10348.01</v>
      </c>
      <c r="I105" s="5">
        <v>7.7</v>
      </c>
      <c r="J105" s="6">
        <v>201</v>
      </c>
      <c r="K105" s="7">
        <f t="shared" si="1"/>
        <v>-553.48999999999978</v>
      </c>
    </row>
    <row r="106" spans="1:11" x14ac:dyDescent="0.2">
      <c r="A106" s="8" t="s">
        <v>134</v>
      </c>
      <c r="B106" s="8" t="s">
        <v>115</v>
      </c>
      <c r="C106" s="9" t="s">
        <v>18</v>
      </c>
      <c r="D106" s="9" t="s">
        <v>43</v>
      </c>
      <c r="E106" s="8" t="s">
        <v>16</v>
      </c>
      <c r="F106" s="10">
        <v>14483.83</v>
      </c>
      <c r="G106" s="10">
        <v>8593.07</v>
      </c>
      <c r="H106" s="10">
        <v>9849</v>
      </c>
      <c r="I106" s="11">
        <v>10.6</v>
      </c>
      <c r="J106" s="12">
        <v>160</v>
      </c>
      <c r="K106" s="13">
        <f t="shared" si="1"/>
        <v>-1255.9300000000003</v>
      </c>
    </row>
    <row r="107" spans="1:11" x14ac:dyDescent="0.2">
      <c r="A107" s="2" t="s">
        <v>135</v>
      </c>
      <c r="B107" s="2" t="s">
        <v>115</v>
      </c>
      <c r="C107" s="3" t="s">
        <v>20</v>
      </c>
      <c r="D107" s="3" t="s">
        <v>43</v>
      </c>
      <c r="E107" s="2" t="s">
        <v>16</v>
      </c>
      <c r="F107" s="4">
        <v>13285.56</v>
      </c>
      <c r="G107" s="4">
        <v>8025.01</v>
      </c>
      <c r="H107" s="4">
        <v>8635.61</v>
      </c>
      <c r="I107" s="5">
        <v>9.6</v>
      </c>
      <c r="J107" s="6">
        <v>163</v>
      </c>
      <c r="K107" s="7">
        <f t="shared" si="1"/>
        <v>-610.60000000000036</v>
      </c>
    </row>
    <row r="108" spans="1:11" x14ac:dyDescent="0.2">
      <c r="A108" s="8" t="s">
        <v>136</v>
      </c>
      <c r="B108" s="8" t="s">
        <v>115</v>
      </c>
      <c r="C108" s="9" t="s">
        <v>22</v>
      </c>
      <c r="D108" s="9" t="s">
        <v>43</v>
      </c>
      <c r="E108" s="8" t="s">
        <v>16</v>
      </c>
      <c r="F108" s="10">
        <v>13760.43</v>
      </c>
      <c r="G108" s="10">
        <v>9894.8700000000008</v>
      </c>
      <c r="H108" s="10">
        <v>10733.14</v>
      </c>
      <c r="I108" s="11">
        <v>5.5</v>
      </c>
      <c r="J108" s="12">
        <v>198</v>
      </c>
      <c r="K108" s="13">
        <f t="shared" si="1"/>
        <v>-838.26999999999862</v>
      </c>
    </row>
    <row r="109" spans="1:11" x14ac:dyDescent="0.2">
      <c r="A109" s="2" t="s">
        <v>137</v>
      </c>
      <c r="B109" s="2" t="s">
        <v>115</v>
      </c>
      <c r="C109" s="3" t="s">
        <v>24</v>
      </c>
      <c r="D109" s="3" t="s">
        <v>43</v>
      </c>
      <c r="E109" s="2" t="s">
        <v>16</v>
      </c>
      <c r="F109" s="4">
        <v>13984.26</v>
      </c>
      <c r="G109" s="4">
        <v>6736.07</v>
      </c>
      <c r="H109" s="4">
        <v>7691.34</v>
      </c>
      <c r="I109" s="5">
        <v>13.5</v>
      </c>
      <c r="J109" s="6">
        <v>159</v>
      </c>
      <c r="K109" s="7">
        <f t="shared" si="1"/>
        <v>-955.27000000000044</v>
      </c>
    </row>
    <row r="110" spans="1:11" x14ac:dyDescent="0.2">
      <c r="A110" s="8" t="s">
        <v>138</v>
      </c>
      <c r="B110" s="8" t="s">
        <v>115</v>
      </c>
      <c r="C110" s="9" t="s">
        <v>26</v>
      </c>
      <c r="D110" s="9" t="s">
        <v>43</v>
      </c>
      <c r="E110" s="8" t="s">
        <v>16</v>
      </c>
      <c r="F110" s="10">
        <v>14702.7</v>
      </c>
      <c r="G110" s="10">
        <v>9110.73</v>
      </c>
      <c r="H110" s="10">
        <v>10291.89</v>
      </c>
      <c r="I110" s="11">
        <v>8.6</v>
      </c>
      <c r="J110" s="12">
        <v>182</v>
      </c>
      <c r="K110" s="13">
        <f t="shared" si="1"/>
        <v>-1181.1599999999999</v>
      </c>
    </row>
    <row r="111" spans="1:11" x14ac:dyDescent="0.2">
      <c r="A111" s="2" t="s">
        <v>139</v>
      </c>
      <c r="B111" s="2" t="s">
        <v>115</v>
      </c>
      <c r="C111" s="3" t="s">
        <v>14</v>
      </c>
      <c r="D111" s="3" t="s">
        <v>50</v>
      </c>
      <c r="E111" s="2" t="s">
        <v>51</v>
      </c>
      <c r="F111" s="4">
        <v>6078.65</v>
      </c>
      <c r="G111" s="4">
        <v>3962.16</v>
      </c>
      <c r="H111" s="4">
        <v>4376.63</v>
      </c>
      <c r="I111" s="5">
        <v>9.6</v>
      </c>
      <c r="J111" s="6">
        <v>356</v>
      </c>
      <c r="K111" s="7">
        <f t="shared" si="1"/>
        <v>-414.47000000000025</v>
      </c>
    </row>
    <row r="112" spans="1:11" x14ac:dyDescent="0.2">
      <c r="A112" s="8" t="s">
        <v>140</v>
      </c>
      <c r="B112" s="8" t="s">
        <v>115</v>
      </c>
      <c r="C112" s="9" t="s">
        <v>18</v>
      </c>
      <c r="D112" s="9" t="s">
        <v>50</v>
      </c>
      <c r="E112" s="8" t="s">
        <v>51</v>
      </c>
      <c r="F112" s="10">
        <v>6173.96</v>
      </c>
      <c r="G112" s="10">
        <v>3664.89</v>
      </c>
      <c r="H112" s="10">
        <v>4198.29</v>
      </c>
      <c r="I112" s="11">
        <v>12.4</v>
      </c>
      <c r="J112" s="12">
        <v>449</v>
      </c>
      <c r="K112" s="13">
        <f t="shared" si="1"/>
        <v>-533.40000000000009</v>
      </c>
    </row>
    <row r="113" spans="1:11" x14ac:dyDescent="0.2">
      <c r="A113" s="2" t="s">
        <v>141</v>
      </c>
      <c r="B113" s="2" t="s">
        <v>115</v>
      </c>
      <c r="C113" s="3" t="s">
        <v>20</v>
      </c>
      <c r="D113" s="3" t="s">
        <v>50</v>
      </c>
      <c r="E113" s="2" t="s">
        <v>51</v>
      </c>
      <c r="F113" s="4">
        <v>6717.85</v>
      </c>
      <c r="G113" s="4">
        <v>3907.15</v>
      </c>
      <c r="H113" s="4">
        <v>4366.6000000000004</v>
      </c>
      <c r="I113" s="5">
        <v>11.2</v>
      </c>
      <c r="J113" s="6">
        <v>467</v>
      </c>
      <c r="K113" s="7">
        <f t="shared" si="1"/>
        <v>-459.45000000000027</v>
      </c>
    </row>
    <row r="114" spans="1:11" x14ac:dyDescent="0.2">
      <c r="A114" s="8" t="s">
        <v>142</v>
      </c>
      <c r="B114" s="8" t="s">
        <v>115</v>
      </c>
      <c r="C114" s="9" t="s">
        <v>22</v>
      </c>
      <c r="D114" s="9" t="s">
        <v>50</v>
      </c>
      <c r="E114" s="8" t="s">
        <v>51</v>
      </c>
      <c r="F114" s="10">
        <v>7008.85</v>
      </c>
      <c r="G114" s="10">
        <v>5262.41</v>
      </c>
      <c r="H114" s="10">
        <v>5466.9</v>
      </c>
      <c r="I114" s="11">
        <v>5.4</v>
      </c>
      <c r="J114" s="12">
        <v>412</v>
      </c>
      <c r="K114" s="13">
        <f t="shared" si="1"/>
        <v>-204.48999999999978</v>
      </c>
    </row>
    <row r="115" spans="1:11" x14ac:dyDescent="0.2">
      <c r="A115" s="2" t="s">
        <v>143</v>
      </c>
      <c r="B115" s="2" t="s">
        <v>115</v>
      </c>
      <c r="C115" s="3" t="s">
        <v>24</v>
      </c>
      <c r="D115" s="3" t="s">
        <v>50</v>
      </c>
      <c r="E115" s="2" t="s">
        <v>51</v>
      </c>
      <c r="F115" s="4">
        <v>6929.74</v>
      </c>
      <c r="G115" s="4">
        <v>3366.2</v>
      </c>
      <c r="H115" s="4">
        <v>3811.36</v>
      </c>
      <c r="I115" s="5">
        <v>14.4</v>
      </c>
      <c r="J115" s="6">
        <v>442</v>
      </c>
      <c r="K115" s="7">
        <f t="shared" si="1"/>
        <v>-445.16000000000031</v>
      </c>
    </row>
    <row r="116" spans="1:11" x14ac:dyDescent="0.2">
      <c r="A116" s="8" t="s">
        <v>144</v>
      </c>
      <c r="B116" s="8" t="s">
        <v>115</v>
      </c>
      <c r="C116" s="9" t="s">
        <v>26</v>
      </c>
      <c r="D116" s="9" t="s">
        <v>50</v>
      </c>
      <c r="E116" s="8" t="s">
        <v>51</v>
      </c>
      <c r="F116" s="10">
        <v>6467.08</v>
      </c>
      <c r="G116" s="10">
        <v>4120.51</v>
      </c>
      <c r="H116" s="10">
        <v>4526.96</v>
      </c>
      <c r="I116" s="11">
        <v>7.1</v>
      </c>
      <c r="J116" s="12">
        <v>429</v>
      </c>
      <c r="K116" s="13">
        <f t="shared" si="1"/>
        <v>-406.44999999999982</v>
      </c>
    </row>
    <row r="117" spans="1:11" x14ac:dyDescent="0.2">
      <c r="A117" s="2" t="s">
        <v>145</v>
      </c>
      <c r="B117" s="2" t="s">
        <v>115</v>
      </c>
      <c r="C117" s="3" t="s">
        <v>14</v>
      </c>
      <c r="D117" s="3" t="s">
        <v>58</v>
      </c>
      <c r="E117" s="2" t="s">
        <v>51</v>
      </c>
      <c r="F117" s="4">
        <v>4423.28</v>
      </c>
      <c r="G117" s="4">
        <v>2950.04</v>
      </c>
      <c r="H117" s="4">
        <v>3184.76</v>
      </c>
      <c r="I117" s="5">
        <v>8.3000000000000007</v>
      </c>
      <c r="J117" s="6">
        <v>501</v>
      </c>
      <c r="K117" s="7">
        <f t="shared" si="1"/>
        <v>-234.72000000000025</v>
      </c>
    </row>
    <row r="118" spans="1:11" x14ac:dyDescent="0.2">
      <c r="A118" s="8" t="s">
        <v>146</v>
      </c>
      <c r="B118" s="8" t="s">
        <v>115</v>
      </c>
      <c r="C118" s="9" t="s">
        <v>18</v>
      </c>
      <c r="D118" s="9" t="s">
        <v>58</v>
      </c>
      <c r="E118" s="8" t="s">
        <v>51</v>
      </c>
      <c r="F118" s="10">
        <v>3845.09</v>
      </c>
      <c r="G118" s="10">
        <v>2289.6799999999998</v>
      </c>
      <c r="H118" s="10">
        <v>2614.66</v>
      </c>
      <c r="I118" s="11">
        <v>10.8</v>
      </c>
      <c r="J118" s="12">
        <v>508</v>
      </c>
      <c r="K118" s="13">
        <f t="shared" si="1"/>
        <v>-324.98</v>
      </c>
    </row>
    <row r="119" spans="1:11" x14ac:dyDescent="0.2">
      <c r="A119" s="2" t="s">
        <v>147</v>
      </c>
      <c r="B119" s="2" t="s">
        <v>115</v>
      </c>
      <c r="C119" s="3" t="s">
        <v>20</v>
      </c>
      <c r="D119" s="3" t="s">
        <v>58</v>
      </c>
      <c r="E119" s="2" t="s">
        <v>51</v>
      </c>
      <c r="F119" s="4">
        <v>4233.7299999999996</v>
      </c>
      <c r="G119" s="4">
        <v>2461.1799999999998</v>
      </c>
      <c r="H119" s="4">
        <v>2751.92</v>
      </c>
      <c r="I119" s="5">
        <v>8.6</v>
      </c>
      <c r="J119" s="6">
        <v>569</v>
      </c>
      <c r="K119" s="7">
        <f t="shared" si="1"/>
        <v>-290.74000000000024</v>
      </c>
    </row>
    <row r="120" spans="1:11" x14ac:dyDescent="0.2">
      <c r="A120" s="8" t="s">
        <v>148</v>
      </c>
      <c r="B120" s="8" t="s">
        <v>115</v>
      </c>
      <c r="C120" s="9" t="s">
        <v>22</v>
      </c>
      <c r="D120" s="9" t="s">
        <v>58</v>
      </c>
      <c r="E120" s="8" t="s">
        <v>51</v>
      </c>
      <c r="F120" s="10">
        <v>4373.3900000000003</v>
      </c>
      <c r="G120" s="10">
        <v>3257.36</v>
      </c>
      <c r="H120" s="10">
        <v>3411.24</v>
      </c>
      <c r="I120" s="11">
        <v>3.8</v>
      </c>
      <c r="J120" s="12">
        <v>544</v>
      </c>
      <c r="K120" s="13">
        <f t="shared" si="1"/>
        <v>-153.87999999999965</v>
      </c>
    </row>
    <row r="121" spans="1:11" x14ac:dyDescent="0.2">
      <c r="A121" s="2" t="s">
        <v>149</v>
      </c>
      <c r="B121" s="2" t="s">
        <v>115</v>
      </c>
      <c r="C121" s="3" t="s">
        <v>24</v>
      </c>
      <c r="D121" s="3" t="s">
        <v>58</v>
      </c>
      <c r="E121" s="2" t="s">
        <v>51</v>
      </c>
      <c r="F121" s="4">
        <v>4129.25</v>
      </c>
      <c r="G121" s="4">
        <v>1954.2</v>
      </c>
      <c r="H121" s="4">
        <v>2271.09</v>
      </c>
      <c r="I121" s="5">
        <v>13.4</v>
      </c>
      <c r="J121" s="6">
        <v>603</v>
      </c>
      <c r="K121" s="7">
        <f t="shared" si="1"/>
        <v>-316.8900000000001</v>
      </c>
    </row>
    <row r="122" spans="1:11" x14ac:dyDescent="0.2">
      <c r="A122" s="8" t="s">
        <v>150</v>
      </c>
      <c r="B122" s="8" t="s">
        <v>115</v>
      </c>
      <c r="C122" s="9" t="s">
        <v>26</v>
      </c>
      <c r="D122" s="9" t="s">
        <v>58</v>
      </c>
      <c r="E122" s="8" t="s">
        <v>51</v>
      </c>
      <c r="F122" s="10">
        <v>4270.63</v>
      </c>
      <c r="G122" s="10">
        <v>2816.47</v>
      </c>
      <c r="H122" s="10">
        <v>2989.44</v>
      </c>
      <c r="I122" s="11">
        <v>8.4</v>
      </c>
      <c r="J122" s="12">
        <v>580</v>
      </c>
      <c r="K122" s="13">
        <f t="shared" si="1"/>
        <v>-172.97000000000025</v>
      </c>
    </row>
    <row r="123" spans="1:11" x14ac:dyDescent="0.2">
      <c r="A123" s="2" t="s">
        <v>151</v>
      </c>
      <c r="B123" s="2" t="s">
        <v>115</v>
      </c>
      <c r="C123" s="3" t="s">
        <v>14</v>
      </c>
      <c r="D123" s="3" t="s">
        <v>65</v>
      </c>
      <c r="E123" s="2" t="s">
        <v>36</v>
      </c>
      <c r="F123" s="4">
        <v>21473.68</v>
      </c>
      <c r="G123" s="4">
        <v>14254.09</v>
      </c>
      <c r="H123" s="4">
        <v>15461.05</v>
      </c>
      <c r="I123" s="5">
        <v>6.7</v>
      </c>
      <c r="J123" s="6">
        <v>79</v>
      </c>
      <c r="K123" s="7">
        <f t="shared" si="1"/>
        <v>-1206.9599999999991</v>
      </c>
    </row>
    <row r="124" spans="1:11" x14ac:dyDescent="0.2">
      <c r="A124" s="8" t="s">
        <v>152</v>
      </c>
      <c r="B124" s="8" t="s">
        <v>115</v>
      </c>
      <c r="C124" s="9" t="s">
        <v>18</v>
      </c>
      <c r="D124" s="9" t="s">
        <v>65</v>
      </c>
      <c r="E124" s="8" t="s">
        <v>36</v>
      </c>
      <c r="F124" s="10">
        <v>23555.17</v>
      </c>
      <c r="G124" s="10">
        <v>13876.79</v>
      </c>
      <c r="H124" s="10">
        <v>16017.52</v>
      </c>
      <c r="I124" s="11">
        <v>12.8</v>
      </c>
      <c r="J124" s="12">
        <v>79</v>
      </c>
      <c r="K124" s="13">
        <f t="shared" si="1"/>
        <v>-2140.7299999999996</v>
      </c>
    </row>
    <row r="125" spans="1:11" x14ac:dyDescent="0.2">
      <c r="A125" s="2" t="s">
        <v>153</v>
      </c>
      <c r="B125" s="2" t="s">
        <v>115</v>
      </c>
      <c r="C125" s="3" t="s">
        <v>20</v>
      </c>
      <c r="D125" s="3" t="s">
        <v>65</v>
      </c>
      <c r="E125" s="2" t="s">
        <v>36</v>
      </c>
      <c r="F125" s="4">
        <v>22202.98</v>
      </c>
      <c r="G125" s="4">
        <v>12698.36</v>
      </c>
      <c r="H125" s="4">
        <v>14431.94</v>
      </c>
      <c r="I125" s="5">
        <v>10</v>
      </c>
      <c r="J125" s="6">
        <v>67</v>
      </c>
      <c r="K125" s="7">
        <f t="shared" si="1"/>
        <v>-1733.58</v>
      </c>
    </row>
    <row r="126" spans="1:11" x14ac:dyDescent="0.2">
      <c r="A126" s="8" t="s">
        <v>154</v>
      </c>
      <c r="B126" s="8" t="s">
        <v>115</v>
      </c>
      <c r="C126" s="9" t="s">
        <v>22</v>
      </c>
      <c r="D126" s="9" t="s">
        <v>65</v>
      </c>
      <c r="E126" s="8" t="s">
        <v>36</v>
      </c>
      <c r="F126" s="10">
        <v>21717.68</v>
      </c>
      <c r="G126" s="10">
        <v>16099.16</v>
      </c>
      <c r="H126" s="10">
        <v>16939.79</v>
      </c>
      <c r="I126" s="11">
        <v>3.7</v>
      </c>
      <c r="J126" s="12">
        <v>77</v>
      </c>
      <c r="K126" s="13">
        <f t="shared" si="1"/>
        <v>-840.63000000000102</v>
      </c>
    </row>
    <row r="127" spans="1:11" x14ac:dyDescent="0.2">
      <c r="A127" s="2" t="s">
        <v>155</v>
      </c>
      <c r="B127" s="2" t="s">
        <v>115</v>
      </c>
      <c r="C127" s="3" t="s">
        <v>24</v>
      </c>
      <c r="D127" s="3" t="s">
        <v>65</v>
      </c>
      <c r="E127" s="2" t="s">
        <v>36</v>
      </c>
      <c r="F127" s="4">
        <v>21578.99</v>
      </c>
      <c r="G127" s="4">
        <v>10263.09</v>
      </c>
      <c r="H127" s="4">
        <v>11868.44</v>
      </c>
      <c r="I127" s="5">
        <v>13.3</v>
      </c>
      <c r="J127" s="6">
        <v>65</v>
      </c>
      <c r="K127" s="7">
        <f t="shared" si="1"/>
        <v>-1605.3500000000004</v>
      </c>
    </row>
    <row r="128" spans="1:11" x14ac:dyDescent="0.2">
      <c r="A128" s="8" t="s">
        <v>156</v>
      </c>
      <c r="B128" s="8" t="s">
        <v>115</v>
      </c>
      <c r="C128" s="9" t="s">
        <v>26</v>
      </c>
      <c r="D128" s="9" t="s">
        <v>65</v>
      </c>
      <c r="E128" s="8" t="s">
        <v>36</v>
      </c>
      <c r="F128" s="10">
        <v>22537.93</v>
      </c>
      <c r="G128" s="10">
        <v>14641.65</v>
      </c>
      <c r="H128" s="10">
        <v>15776.55</v>
      </c>
      <c r="I128" s="11">
        <v>6.4</v>
      </c>
      <c r="J128" s="12">
        <v>75</v>
      </c>
      <c r="K128" s="13">
        <f t="shared" si="1"/>
        <v>-1134.8999999999996</v>
      </c>
    </row>
    <row r="129" spans="1:11" x14ac:dyDescent="0.2">
      <c r="A129" s="2" t="s">
        <v>157</v>
      </c>
      <c r="B129" s="2" t="s">
        <v>158</v>
      </c>
      <c r="C129" s="3" t="s">
        <v>14</v>
      </c>
      <c r="D129" s="3" t="s">
        <v>15</v>
      </c>
      <c r="E129" s="2" t="s">
        <v>16</v>
      </c>
      <c r="F129" s="4">
        <v>25351.77</v>
      </c>
      <c r="G129" s="4">
        <v>16197.26</v>
      </c>
      <c r="H129" s="4">
        <v>18253.27</v>
      </c>
      <c r="I129" s="5">
        <v>8.6</v>
      </c>
      <c r="J129" s="6">
        <v>143</v>
      </c>
      <c r="K129" s="7">
        <f t="shared" si="1"/>
        <v>-2056.0100000000002</v>
      </c>
    </row>
    <row r="130" spans="1:11" x14ac:dyDescent="0.2">
      <c r="A130" s="8" t="s">
        <v>159</v>
      </c>
      <c r="B130" s="8" t="s">
        <v>158</v>
      </c>
      <c r="C130" s="9" t="s">
        <v>18</v>
      </c>
      <c r="D130" s="9" t="s">
        <v>15</v>
      </c>
      <c r="E130" s="8" t="s">
        <v>16</v>
      </c>
      <c r="F130" s="10">
        <v>25481.59</v>
      </c>
      <c r="G130" s="10">
        <v>15065.73</v>
      </c>
      <c r="H130" s="10">
        <v>17327.48</v>
      </c>
      <c r="I130" s="11">
        <v>11</v>
      </c>
      <c r="J130" s="12">
        <v>137</v>
      </c>
      <c r="K130" s="13">
        <f t="shared" si="1"/>
        <v>-2261.75</v>
      </c>
    </row>
    <row r="131" spans="1:11" x14ac:dyDescent="0.2">
      <c r="A131" s="2" t="s">
        <v>160</v>
      </c>
      <c r="B131" s="2" t="s">
        <v>158</v>
      </c>
      <c r="C131" s="3" t="s">
        <v>20</v>
      </c>
      <c r="D131" s="3" t="s">
        <v>15</v>
      </c>
      <c r="E131" s="2" t="s">
        <v>16</v>
      </c>
      <c r="F131" s="4">
        <v>29462.89</v>
      </c>
      <c r="G131" s="4">
        <v>17720.04</v>
      </c>
      <c r="H131" s="4">
        <v>19150.88</v>
      </c>
      <c r="I131" s="5">
        <v>9.3000000000000007</v>
      </c>
      <c r="J131" s="6">
        <v>159</v>
      </c>
      <c r="K131" s="7">
        <f t="shared" ref="K131:K194" si="2">G131-H131</f>
        <v>-1430.8400000000001</v>
      </c>
    </row>
    <row r="132" spans="1:11" x14ac:dyDescent="0.2">
      <c r="A132" s="8" t="s">
        <v>161</v>
      </c>
      <c r="B132" s="8" t="s">
        <v>158</v>
      </c>
      <c r="C132" s="9" t="s">
        <v>22</v>
      </c>
      <c r="D132" s="9" t="s">
        <v>15</v>
      </c>
      <c r="E132" s="8" t="s">
        <v>16</v>
      </c>
      <c r="F132" s="10">
        <v>26612.720000000001</v>
      </c>
      <c r="G132" s="10">
        <v>19201.32</v>
      </c>
      <c r="H132" s="10">
        <v>20757.919999999998</v>
      </c>
      <c r="I132" s="11">
        <v>3.8</v>
      </c>
      <c r="J132" s="12">
        <v>146</v>
      </c>
      <c r="K132" s="13">
        <f t="shared" si="2"/>
        <v>-1556.5999999999985</v>
      </c>
    </row>
    <row r="133" spans="1:11" x14ac:dyDescent="0.2">
      <c r="A133" s="2" t="s">
        <v>162</v>
      </c>
      <c r="B133" s="2" t="s">
        <v>158</v>
      </c>
      <c r="C133" s="3" t="s">
        <v>24</v>
      </c>
      <c r="D133" s="3" t="s">
        <v>15</v>
      </c>
      <c r="E133" s="2" t="s">
        <v>16</v>
      </c>
      <c r="F133" s="4">
        <v>30799.48</v>
      </c>
      <c r="G133" s="4">
        <v>14777.42</v>
      </c>
      <c r="H133" s="4">
        <v>16939.71</v>
      </c>
      <c r="I133" s="5">
        <v>13.8</v>
      </c>
      <c r="J133" s="6">
        <v>157</v>
      </c>
      <c r="K133" s="7">
        <f t="shared" si="2"/>
        <v>-2162.2899999999991</v>
      </c>
    </row>
    <row r="134" spans="1:11" x14ac:dyDescent="0.2">
      <c r="A134" s="8" t="s">
        <v>163</v>
      </c>
      <c r="B134" s="8" t="s">
        <v>158</v>
      </c>
      <c r="C134" s="9" t="s">
        <v>26</v>
      </c>
      <c r="D134" s="9" t="s">
        <v>15</v>
      </c>
      <c r="E134" s="8" t="s">
        <v>16</v>
      </c>
      <c r="F134" s="10">
        <v>28849.83</v>
      </c>
      <c r="G134" s="10">
        <v>19122.04</v>
      </c>
      <c r="H134" s="10">
        <v>20194.88</v>
      </c>
      <c r="I134" s="11">
        <v>8.6</v>
      </c>
      <c r="J134" s="12">
        <v>131</v>
      </c>
      <c r="K134" s="13">
        <f t="shared" si="2"/>
        <v>-1072.8400000000001</v>
      </c>
    </row>
    <row r="135" spans="1:11" x14ac:dyDescent="0.2">
      <c r="A135" s="2" t="s">
        <v>164</v>
      </c>
      <c r="B135" s="2" t="s">
        <v>158</v>
      </c>
      <c r="C135" s="3" t="s">
        <v>14</v>
      </c>
      <c r="D135" s="3" t="s">
        <v>28</v>
      </c>
      <c r="E135" s="2" t="s">
        <v>16</v>
      </c>
      <c r="F135" s="4">
        <v>28930.43</v>
      </c>
      <c r="G135" s="4">
        <v>18752.14</v>
      </c>
      <c r="H135" s="4">
        <v>20829.91</v>
      </c>
      <c r="I135" s="5">
        <v>7.2</v>
      </c>
      <c r="J135" s="6">
        <v>102</v>
      </c>
      <c r="K135" s="7">
        <f t="shared" si="2"/>
        <v>-2077.7700000000004</v>
      </c>
    </row>
    <row r="136" spans="1:11" x14ac:dyDescent="0.2">
      <c r="A136" s="8" t="s">
        <v>165</v>
      </c>
      <c r="B136" s="8" t="s">
        <v>158</v>
      </c>
      <c r="C136" s="9" t="s">
        <v>18</v>
      </c>
      <c r="D136" s="9" t="s">
        <v>28</v>
      </c>
      <c r="E136" s="8" t="s">
        <v>16</v>
      </c>
      <c r="F136" s="10">
        <v>32409.41</v>
      </c>
      <c r="G136" s="10">
        <v>20016.72</v>
      </c>
      <c r="H136" s="10">
        <v>22038.400000000001</v>
      </c>
      <c r="I136" s="11">
        <v>10.6</v>
      </c>
      <c r="J136" s="12">
        <v>105</v>
      </c>
      <c r="K136" s="13">
        <f t="shared" si="2"/>
        <v>-2021.6800000000003</v>
      </c>
    </row>
    <row r="137" spans="1:11" x14ac:dyDescent="0.2">
      <c r="A137" s="2" t="s">
        <v>166</v>
      </c>
      <c r="B137" s="2" t="s">
        <v>158</v>
      </c>
      <c r="C137" s="3" t="s">
        <v>20</v>
      </c>
      <c r="D137" s="3" t="s">
        <v>28</v>
      </c>
      <c r="E137" s="2" t="s">
        <v>16</v>
      </c>
      <c r="F137" s="4">
        <v>29873.85</v>
      </c>
      <c r="G137" s="4">
        <v>17822.82</v>
      </c>
      <c r="H137" s="4">
        <v>19418</v>
      </c>
      <c r="I137" s="5">
        <v>10</v>
      </c>
      <c r="J137" s="6">
        <v>86</v>
      </c>
      <c r="K137" s="7">
        <f t="shared" si="2"/>
        <v>-1595.1800000000003</v>
      </c>
    </row>
    <row r="138" spans="1:11" x14ac:dyDescent="0.2">
      <c r="A138" s="8" t="s">
        <v>167</v>
      </c>
      <c r="B138" s="8" t="s">
        <v>158</v>
      </c>
      <c r="C138" s="9" t="s">
        <v>22</v>
      </c>
      <c r="D138" s="9" t="s">
        <v>28</v>
      </c>
      <c r="E138" s="8" t="s">
        <v>16</v>
      </c>
      <c r="F138" s="10">
        <v>34043.53</v>
      </c>
      <c r="G138" s="10">
        <v>24049.54</v>
      </c>
      <c r="H138" s="10">
        <v>26553.95</v>
      </c>
      <c r="I138" s="11">
        <v>6.5</v>
      </c>
      <c r="J138" s="12">
        <v>84</v>
      </c>
      <c r="K138" s="13">
        <f t="shared" si="2"/>
        <v>-2504.41</v>
      </c>
    </row>
    <row r="139" spans="1:11" x14ac:dyDescent="0.2">
      <c r="A139" s="2" t="s">
        <v>168</v>
      </c>
      <c r="B139" s="2" t="s">
        <v>158</v>
      </c>
      <c r="C139" s="3" t="s">
        <v>24</v>
      </c>
      <c r="D139" s="3" t="s">
        <v>28</v>
      </c>
      <c r="E139" s="2" t="s">
        <v>16</v>
      </c>
      <c r="F139" s="4">
        <v>30796.53</v>
      </c>
      <c r="G139" s="4">
        <v>14960.21</v>
      </c>
      <c r="H139" s="4">
        <v>16938.09</v>
      </c>
      <c r="I139" s="5">
        <v>14.8</v>
      </c>
      <c r="J139" s="6">
        <v>94</v>
      </c>
      <c r="K139" s="7">
        <f t="shared" si="2"/>
        <v>-1977.880000000001</v>
      </c>
    </row>
    <row r="140" spans="1:11" x14ac:dyDescent="0.2">
      <c r="A140" s="8" t="s">
        <v>169</v>
      </c>
      <c r="B140" s="8" t="s">
        <v>158</v>
      </c>
      <c r="C140" s="9" t="s">
        <v>26</v>
      </c>
      <c r="D140" s="9" t="s">
        <v>28</v>
      </c>
      <c r="E140" s="8" t="s">
        <v>16</v>
      </c>
      <c r="F140" s="10">
        <v>33376.089999999997</v>
      </c>
      <c r="G140" s="10">
        <v>22177.759999999998</v>
      </c>
      <c r="H140" s="10">
        <v>23363.26</v>
      </c>
      <c r="I140" s="11">
        <v>6.5</v>
      </c>
      <c r="J140" s="12">
        <v>101</v>
      </c>
      <c r="K140" s="13">
        <f t="shared" si="2"/>
        <v>-1185.5</v>
      </c>
    </row>
    <row r="141" spans="1:11" x14ac:dyDescent="0.2">
      <c r="A141" s="2" t="s">
        <v>170</v>
      </c>
      <c r="B141" s="2" t="s">
        <v>158</v>
      </c>
      <c r="C141" s="3" t="s">
        <v>14</v>
      </c>
      <c r="D141" s="3" t="s">
        <v>35</v>
      </c>
      <c r="E141" s="2" t="s">
        <v>36</v>
      </c>
      <c r="F141" s="4">
        <v>16566.84</v>
      </c>
      <c r="G141" s="4">
        <v>11158.77</v>
      </c>
      <c r="H141" s="4">
        <v>11928.12</v>
      </c>
      <c r="I141" s="5">
        <v>9</v>
      </c>
      <c r="J141" s="6">
        <v>63</v>
      </c>
      <c r="K141" s="7">
        <f t="shared" si="2"/>
        <v>-769.35000000000036</v>
      </c>
    </row>
    <row r="142" spans="1:11" x14ac:dyDescent="0.2">
      <c r="A142" s="8" t="s">
        <v>171</v>
      </c>
      <c r="B142" s="8" t="s">
        <v>158</v>
      </c>
      <c r="C142" s="9" t="s">
        <v>18</v>
      </c>
      <c r="D142" s="9" t="s">
        <v>35</v>
      </c>
      <c r="E142" s="8" t="s">
        <v>36</v>
      </c>
      <c r="F142" s="10">
        <v>16635.8</v>
      </c>
      <c r="G142" s="10">
        <v>10075.83</v>
      </c>
      <c r="H142" s="10">
        <v>11312.34</v>
      </c>
      <c r="I142" s="11">
        <v>12.9</v>
      </c>
      <c r="J142" s="12">
        <v>59</v>
      </c>
      <c r="K142" s="13">
        <f t="shared" si="2"/>
        <v>-1236.5100000000002</v>
      </c>
    </row>
    <row r="143" spans="1:11" x14ac:dyDescent="0.2">
      <c r="A143" s="2" t="s">
        <v>172</v>
      </c>
      <c r="B143" s="2" t="s">
        <v>158</v>
      </c>
      <c r="C143" s="3" t="s">
        <v>20</v>
      </c>
      <c r="D143" s="3" t="s">
        <v>35</v>
      </c>
      <c r="E143" s="2" t="s">
        <v>36</v>
      </c>
      <c r="F143" s="4">
        <v>17742.16</v>
      </c>
      <c r="G143" s="4">
        <v>10464.870000000001</v>
      </c>
      <c r="H143" s="4">
        <v>11532.4</v>
      </c>
      <c r="I143" s="5">
        <v>9.3000000000000007</v>
      </c>
      <c r="J143" s="6">
        <v>59</v>
      </c>
      <c r="K143" s="7">
        <f t="shared" si="2"/>
        <v>-1067.5299999999988</v>
      </c>
    </row>
    <row r="144" spans="1:11" x14ac:dyDescent="0.2">
      <c r="A144" s="8" t="s">
        <v>173</v>
      </c>
      <c r="B144" s="8" t="s">
        <v>158</v>
      </c>
      <c r="C144" s="9" t="s">
        <v>22</v>
      </c>
      <c r="D144" s="9" t="s">
        <v>35</v>
      </c>
      <c r="E144" s="8" t="s">
        <v>36</v>
      </c>
      <c r="F144" s="10">
        <v>19258.47</v>
      </c>
      <c r="G144" s="10">
        <v>13660.17</v>
      </c>
      <c r="H144" s="10">
        <v>15021.61</v>
      </c>
      <c r="I144" s="11">
        <v>6.1</v>
      </c>
      <c r="J144" s="12">
        <v>70</v>
      </c>
      <c r="K144" s="13">
        <f t="shared" si="2"/>
        <v>-1361.4400000000005</v>
      </c>
    </row>
    <row r="145" spans="1:11" x14ac:dyDescent="0.2">
      <c r="A145" s="2" t="s">
        <v>174</v>
      </c>
      <c r="B145" s="2" t="s">
        <v>158</v>
      </c>
      <c r="C145" s="3" t="s">
        <v>24</v>
      </c>
      <c r="D145" s="3" t="s">
        <v>35</v>
      </c>
      <c r="E145" s="2" t="s">
        <v>36</v>
      </c>
      <c r="F145" s="4">
        <v>18488.11</v>
      </c>
      <c r="G145" s="4">
        <v>8755.52</v>
      </c>
      <c r="H145" s="4">
        <v>10168.459999999999</v>
      </c>
      <c r="I145" s="5">
        <v>15.3</v>
      </c>
      <c r="J145" s="6">
        <v>60</v>
      </c>
      <c r="K145" s="7">
        <f t="shared" si="2"/>
        <v>-1412.9399999999987</v>
      </c>
    </row>
    <row r="146" spans="1:11" x14ac:dyDescent="0.2">
      <c r="A146" s="8" t="s">
        <v>175</v>
      </c>
      <c r="B146" s="8" t="s">
        <v>158</v>
      </c>
      <c r="C146" s="9" t="s">
        <v>26</v>
      </c>
      <c r="D146" s="9" t="s">
        <v>35</v>
      </c>
      <c r="E146" s="8" t="s">
        <v>36</v>
      </c>
      <c r="F146" s="10">
        <v>18841.66</v>
      </c>
      <c r="G146" s="10">
        <v>11755.48</v>
      </c>
      <c r="H146" s="10">
        <v>13189.16</v>
      </c>
      <c r="I146" s="11">
        <v>9.1999999999999993</v>
      </c>
      <c r="J146" s="12">
        <v>67</v>
      </c>
      <c r="K146" s="13">
        <f t="shared" si="2"/>
        <v>-1433.6800000000003</v>
      </c>
    </row>
    <row r="147" spans="1:11" x14ac:dyDescent="0.2">
      <c r="A147" s="2" t="s">
        <v>176</v>
      </c>
      <c r="B147" s="2" t="s">
        <v>158</v>
      </c>
      <c r="C147" s="3" t="s">
        <v>14</v>
      </c>
      <c r="D147" s="3" t="s">
        <v>43</v>
      </c>
      <c r="E147" s="2" t="s">
        <v>16</v>
      </c>
      <c r="F147" s="4">
        <v>14106.88</v>
      </c>
      <c r="G147" s="4">
        <v>9276.02</v>
      </c>
      <c r="H147" s="4">
        <v>10156.950000000001</v>
      </c>
      <c r="I147" s="5">
        <v>8.1999999999999993</v>
      </c>
      <c r="J147" s="6">
        <v>199</v>
      </c>
      <c r="K147" s="7">
        <f t="shared" si="2"/>
        <v>-880.93000000000029</v>
      </c>
    </row>
    <row r="148" spans="1:11" x14ac:dyDescent="0.2">
      <c r="A148" s="8" t="s">
        <v>177</v>
      </c>
      <c r="B148" s="8" t="s">
        <v>158</v>
      </c>
      <c r="C148" s="9" t="s">
        <v>18</v>
      </c>
      <c r="D148" s="9" t="s">
        <v>43</v>
      </c>
      <c r="E148" s="8" t="s">
        <v>16</v>
      </c>
      <c r="F148" s="10">
        <v>13351.51</v>
      </c>
      <c r="G148" s="10">
        <v>8154.34</v>
      </c>
      <c r="H148" s="10">
        <v>9079.0300000000007</v>
      </c>
      <c r="I148" s="11">
        <v>12.5</v>
      </c>
      <c r="J148" s="12">
        <v>163</v>
      </c>
      <c r="K148" s="13">
        <f t="shared" si="2"/>
        <v>-924.69000000000051</v>
      </c>
    </row>
    <row r="149" spans="1:11" x14ac:dyDescent="0.2">
      <c r="A149" s="2" t="s">
        <v>178</v>
      </c>
      <c r="B149" s="2" t="s">
        <v>158</v>
      </c>
      <c r="C149" s="3" t="s">
        <v>20</v>
      </c>
      <c r="D149" s="3" t="s">
        <v>43</v>
      </c>
      <c r="E149" s="2" t="s">
        <v>16</v>
      </c>
      <c r="F149" s="4">
        <v>15068.57</v>
      </c>
      <c r="G149" s="4">
        <v>8897.66</v>
      </c>
      <c r="H149" s="4">
        <v>9794.57</v>
      </c>
      <c r="I149" s="5">
        <v>8.9</v>
      </c>
      <c r="J149" s="6">
        <v>193</v>
      </c>
      <c r="K149" s="7">
        <f t="shared" si="2"/>
        <v>-896.90999999999985</v>
      </c>
    </row>
    <row r="150" spans="1:11" x14ac:dyDescent="0.2">
      <c r="A150" s="8" t="s">
        <v>179</v>
      </c>
      <c r="B150" s="8" t="s">
        <v>158</v>
      </c>
      <c r="C150" s="9" t="s">
        <v>22</v>
      </c>
      <c r="D150" s="9" t="s">
        <v>43</v>
      </c>
      <c r="E150" s="8" t="s">
        <v>16</v>
      </c>
      <c r="F150" s="10">
        <v>13661.17</v>
      </c>
      <c r="G150" s="10">
        <v>10549.55</v>
      </c>
      <c r="H150" s="10">
        <v>10655.71</v>
      </c>
      <c r="I150" s="11">
        <v>3.7</v>
      </c>
      <c r="J150" s="12">
        <v>169</v>
      </c>
      <c r="K150" s="13">
        <f t="shared" si="2"/>
        <v>-106.15999999999985</v>
      </c>
    </row>
    <row r="151" spans="1:11" x14ac:dyDescent="0.2">
      <c r="A151" s="2" t="s">
        <v>180</v>
      </c>
      <c r="B151" s="2" t="s">
        <v>158</v>
      </c>
      <c r="C151" s="3" t="s">
        <v>24</v>
      </c>
      <c r="D151" s="3" t="s">
        <v>43</v>
      </c>
      <c r="E151" s="2" t="s">
        <v>16</v>
      </c>
      <c r="F151" s="4">
        <v>13193.94</v>
      </c>
      <c r="G151" s="4">
        <v>6075.06</v>
      </c>
      <c r="H151" s="4">
        <v>7256.67</v>
      </c>
      <c r="I151" s="5">
        <v>15.2</v>
      </c>
      <c r="J151" s="6">
        <v>208</v>
      </c>
      <c r="K151" s="7">
        <f t="shared" si="2"/>
        <v>-1181.6099999999997</v>
      </c>
    </row>
    <row r="152" spans="1:11" x14ac:dyDescent="0.2">
      <c r="A152" s="8" t="s">
        <v>181</v>
      </c>
      <c r="B152" s="8" t="s">
        <v>158</v>
      </c>
      <c r="C152" s="9" t="s">
        <v>26</v>
      </c>
      <c r="D152" s="9" t="s">
        <v>43</v>
      </c>
      <c r="E152" s="8" t="s">
        <v>16</v>
      </c>
      <c r="F152" s="10">
        <v>14563.31</v>
      </c>
      <c r="G152" s="10">
        <v>9099.39</v>
      </c>
      <c r="H152" s="10">
        <v>10194.32</v>
      </c>
      <c r="I152" s="11">
        <v>7.1</v>
      </c>
      <c r="J152" s="12">
        <v>212</v>
      </c>
      <c r="K152" s="13">
        <f t="shared" si="2"/>
        <v>-1094.9300000000003</v>
      </c>
    </row>
    <row r="153" spans="1:11" x14ac:dyDescent="0.2">
      <c r="A153" s="2" t="s">
        <v>182</v>
      </c>
      <c r="B153" s="2" t="s">
        <v>158</v>
      </c>
      <c r="C153" s="3" t="s">
        <v>14</v>
      </c>
      <c r="D153" s="3" t="s">
        <v>50</v>
      </c>
      <c r="E153" s="2" t="s">
        <v>51</v>
      </c>
      <c r="F153" s="4">
        <v>5961.3</v>
      </c>
      <c r="G153" s="4">
        <v>3906.57</v>
      </c>
      <c r="H153" s="4">
        <v>4292.1400000000003</v>
      </c>
      <c r="I153" s="5">
        <v>8.9</v>
      </c>
      <c r="J153" s="6">
        <v>443</v>
      </c>
      <c r="K153" s="7">
        <f t="shared" si="2"/>
        <v>-385.57000000000016</v>
      </c>
    </row>
    <row r="154" spans="1:11" x14ac:dyDescent="0.2">
      <c r="A154" s="8" t="s">
        <v>183</v>
      </c>
      <c r="B154" s="8" t="s">
        <v>158</v>
      </c>
      <c r="C154" s="9" t="s">
        <v>18</v>
      </c>
      <c r="D154" s="9" t="s">
        <v>50</v>
      </c>
      <c r="E154" s="8" t="s">
        <v>51</v>
      </c>
      <c r="F154" s="10">
        <v>6747.79</v>
      </c>
      <c r="G154" s="10">
        <v>4044.09</v>
      </c>
      <c r="H154" s="10">
        <v>4588.5</v>
      </c>
      <c r="I154" s="11">
        <v>11.8</v>
      </c>
      <c r="J154" s="12">
        <v>448</v>
      </c>
      <c r="K154" s="13">
        <f t="shared" si="2"/>
        <v>-544.40999999999985</v>
      </c>
    </row>
    <row r="155" spans="1:11" x14ac:dyDescent="0.2">
      <c r="A155" s="2" t="s">
        <v>184</v>
      </c>
      <c r="B155" s="2" t="s">
        <v>158</v>
      </c>
      <c r="C155" s="3" t="s">
        <v>20</v>
      </c>
      <c r="D155" s="3" t="s">
        <v>50</v>
      </c>
      <c r="E155" s="2" t="s">
        <v>51</v>
      </c>
      <c r="F155" s="4">
        <v>5970.97</v>
      </c>
      <c r="G155" s="4">
        <v>3589.96</v>
      </c>
      <c r="H155" s="4">
        <v>3881.13</v>
      </c>
      <c r="I155" s="5">
        <v>8.9</v>
      </c>
      <c r="J155" s="6">
        <v>388</v>
      </c>
      <c r="K155" s="7">
        <f t="shared" si="2"/>
        <v>-291.17000000000007</v>
      </c>
    </row>
    <row r="156" spans="1:11" x14ac:dyDescent="0.2">
      <c r="A156" s="8" t="s">
        <v>185</v>
      </c>
      <c r="B156" s="8" t="s">
        <v>158</v>
      </c>
      <c r="C156" s="9" t="s">
        <v>22</v>
      </c>
      <c r="D156" s="9" t="s">
        <v>50</v>
      </c>
      <c r="E156" s="8" t="s">
        <v>51</v>
      </c>
      <c r="F156" s="10">
        <v>6606.02</v>
      </c>
      <c r="G156" s="10">
        <v>4907.17</v>
      </c>
      <c r="H156" s="10">
        <v>5152.7</v>
      </c>
      <c r="I156" s="11">
        <v>5</v>
      </c>
      <c r="J156" s="12">
        <v>402</v>
      </c>
      <c r="K156" s="13">
        <f t="shared" si="2"/>
        <v>-245.52999999999975</v>
      </c>
    </row>
    <row r="157" spans="1:11" x14ac:dyDescent="0.2">
      <c r="A157" s="2" t="s">
        <v>186</v>
      </c>
      <c r="B157" s="2" t="s">
        <v>158</v>
      </c>
      <c r="C157" s="3" t="s">
        <v>24</v>
      </c>
      <c r="D157" s="3" t="s">
        <v>50</v>
      </c>
      <c r="E157" s="2" t="s">
        <v>51</v>
      </c>
      <c r="F157" s="4">
        <v>6819.72</v>
      </c>
      <c r="G157" s="4">
        <v>3285.7</v>
      </c>
      <c r="H157" s="4">
        <v>3750.85</v>
      </c>
      <c r="I157" s="5">
        <v>13.8</v>
      </c>
      <c r="J157" s="6">
        <v>383</v>
      </c>
      <c r="K157" s="7">
        <f t="shared" si="2"/>
        <v>-465.15000000000009</v>
      </c>
    </row>
    <row r="158" spans="1:11" x14ac:dyDescent="0.2">
      <c r="A158" s="8" t="s">
        <v>187</v>
      </c>
      <c r="B158" s="8" t="s">
        <v>158</v>
      </c>
      <c r="C158" s="9" t="s">
        <v>26</v>
      </c>
      <c r="D158" s="9" t="s">
        <v>50</v>
      </c>
      <c r="E158" s="8" t="s">
        <v>51</v>
      </c>
      <c r="F158" s="10">
        <v>6176.82</v>
      </c>
      <c r="G158" s="10">
        <v>3934.87</v>
      </c>
      <c r="H158" s="10">
        <v>4323.7700000000004</v>
      </c>
      <c r="I158" s="11">
        <v>6.7</v>
      </c>
      <c r="J158" s="12">
        <v>364</v>
      </c>
      <c r="K158" s="13">
        <f t="shared" si="2"/>
        <v>-388.90000000000055</v>
      </c>
    </row>
    <row r="159" spans="1:11" x14ac:dyDescent="0.2">
      <c r="A159" s="2" t="s">
        <v>188</v>
      </c>
      <c r="B159" s="2" t="s">
        <v>158</v>
      </c>
      <c r="C159" s="3" t="s">
        <v>14</v>
      </c>
      <c r="D159" s="3" t="s">
        <v>58</v>
      </c>
      <c r="E159" s="2" t="s">
        <v>51</v>
      </c>
      <c r="F159" s="4">
        <v>4230.13</v>
      </c>
      <c r="G159" s="4">
        <v>2701.77</v>
      </c>
      <c r="H159" s="4">
        <v>3045.69</v>
      </c>
      <c r="I159" s="5">
        <v>9</v>
      </c>
      <c r="J159" s="6">
        <v>492</v>
      </c>
      <c r="K159" s="7">
        <f t="shared" si="2"/>
        <v>-343.92000000000007</v>
      </c>
    </row>
    <row r="160" spans="1:11" x14ac:dyDescent="0.2">
      <c r="A160" s="8" t="s">
        <v>189</v>
      </c>
      <c r="B160" s="8" t="s">
        <v>158</v>
      </c>
      <c r="C160" s="9" t="s">
        <v>18</v>
      </c>
      <c r="D160" s="9" t="s">
        <v>58</v>
      </c>
      <c r="E160" s="8" t="s">
        <v>51</v>
      </c>
      <c r="F160" s="10">
        <v>4186.7299999999996</v>
      </c>
      <c r="G160" s="10">
        <v>2597.91</v>
      </c>
      <c r="H160" s="10">
        <v>2846.98</v>
      </c>
      <c r="I160" s="11">
        <v>12.1</v>
      </c>
      <c r="J160" s="12">
        <v>541</v>
      </c>
      <c r="K160" s="13">
        <f t="shared" si="2"/>
        <v>-249.07000000000016</v>
      </c>
    </row>
    <row r="161" spans="1:11" x14ac:dyDescent="0.2">
      <c r="A161" s="2" t="s">
        <v>190</v>
      </c>
      <c r="B161" s="2" t="s">
        <v>158</v>
      </c>
      <c r="C161" s="3" t="s">
        <v>20</v>
      </c>
      <c r="D161" s="3" t="s">
        <v>58</v>
      </c>
      <c r="E161" s="2" t="s">
        <v>51</v>
      </c>
      <c r="F161" s="4">
        <v>4017.72</v>
      </c>
      <c r="G161" s="4">
        <v>2331.0700000000002</v>
      </c>
      <c r="H161" s="4">
        <v>2611.52</v>
      </c>
      <c r="I161" s="5">
        <v>8.5</v>
      </c>
      <c r="J161" s="6">
        <v>494</v>
      </c>
      <c r="K161" s="7">
        <f t="shared" si="2"/>
        <v>-280.44999999999982</v>
      </c>
    </row>
    <row r="162" spans="1:11" x14ac:dyDescent="0.2">
      <c r="A162" s="8" t="s">
        <v>191</v>
      </c>
      <c r="B162" s="8" t="s">
        <v>158</v>
      </c>
      <c r="C162" s="9" t="s">
        <v>22</v>
      </c>
      <c r="D162" s="9" t="s">
        <v>58</v>
      </c>
      <c r="E162" s="8" t="s">
        <v>51</v>
      </c>
      <c r="F162" s="10">
        <v>3930.73</v>
      </c>
      <c r="G162" s="10">
        <v>2963.67</v>
      </c>
      <c r="H162" s="10">
        <v>3065.97</v>
      </c>
      <c r="I162" s="11">
        <v>3.6</v>
      </c>
      <c r="J162" s="12">
        <v>501</v>
      </c>
      <c r="K162" s="13">
        <f t="shared" si="2"/>
        <v>-102.29999999999973</v>
      </c>
    </row>
    <row r="163" spans="1:11" x14ac:dyDescent="0.2">
      <c r="A163" s="2" t="s">
        <v>192</v>
      </c>
      <c r="B163" s="2" t="s">
        <v>158</v>
      </c>
      <c r="C163" s="3" t="s">
        <v>24</v>
      </c>
      <c r="D163" s="3" t="s">
        <v>58</v>
      </c>
      <c r="E163" s="2" t="s">
        <v>51</v>
      </c>
      <c r="F163" s="4">
        <v>4598.41</v>
      </c>
      <c r="G163" s="4">
        <v>2196.56</v>
      </c>
      <c r="H163" s="4">
        <v>2529.13</v>
      </c>
      <c r="I163" s="5">
        <v>14.5</v>
      </c>
      <c r="J163" s="6">
        <v>477</v>
      </c>
      <c r="K163" s="7">
        <f t="shared" si="2"/>
        <v>-332.57000000000016</v>
      </c>
    </row>
    <row r="164" spans="1:11" x14ac:dyDescent="0.2">
      <c r="A164" s="8" t="s">
        <v>193</v>
      </c>
      <c r="B164" s="8" t="s">
        <v>158</v>
      </c>
      <c r="C164" s="9" t="s">
        <v>26</v>
      </c>
      <c r="D164" s="9" t="s">
        <v>58</v>
      </c>
      <c r="E164" s="8" t="s">
        <v>51</v>
      </c>
      <c r="F164" s="10">
        <v>4509.51</v>
      </c>
      <c r="G164" s="10">
        <v>2997.22</v>
      </c>
      <c r="H164" s="10">
        <v>3156.66</v>
      </c>
      <c r="I164" s="11">
        <v>7.8</v>
      </c>
      <c r="J164" s="12">
        <v>549</v>
      </c>
      <c r="K164" s="13">
        <f t="shared" si="2"/>
        <v>-159.44000000000005</v>
      </c>
    </row>
    <row r="165" spans="1:11" x14ac:dyDescent="0.2">
      <c r="A165" s="2" t="s">
        <v>194</v>
      </c>
      <c r="B165" s="2" t="s">
        <v>158</v>
      </c>
      <c r="C165" s="3" t="s">
        <v>14</v>
      </c>
      <c r="D165" s="3" t="s">
        <v>65</v>
      </c>
      <c r="E165" s="2" t="s">
        <v>36</v>
      </c>
      <c r="F165" s="4">
        <v>21865.35</v>
      </c>
      <c r="G165" s="4">
        <v>14117.88</v>
      </c>
      <c r="H165" s="4">
        <v>15743.05</v>
      </c>
      <c r="I165" s="5">
        <v>8</v>
      </c>
      <c r="J165" s="6">
        <v>64</v>
      </c>
      <c r="K165" s="7">
        <f t="shared" si="2"/>
        <v>-1625.17</v>
      </c>
    </row>
    <row r="166" spans="1:11" x14ac:dyDescent="0.2">
      <c r="A166" s="8" t="s">
        <v>195</v>
      </c>
      <c r="B166" s="8" t="s">
        <v>158</v>
      </c>
      <c r="C166" s="9" t="s">
        <v>18</v>
      </c>
      <c r="D166" s="9" t="s">
        <v>65</v>
      </c>
      <c r="E166" s="8" t="s">
        <v>36</v>
      </c>
      <c r="F166" s="10">
        <v>23940.68</v>
      </c>
      <c r="G166" s="10">
        <v>14812.17</v>
      </c>
      <c r="H166" s="10">
        <v>16279.66</v>
      </c>
      <c r="I166" s="11">
        <v>11.3</v>
      </c>
      <c r="J166" s="12">
        <v>71</v>
      </c>
      <c r="K166" s="13">
        <f t="shared" si="2"/>
        <v>-1467.4899999999998</v>
      </c>
    </row>
    <row r="167" spans="1:11" x14ac:dyDescent="0.2">
      <c r="A167" s="2" t="s">
        <v>196</v>
      </c>
      <c r="B167" s="2" t="s">
        <v>158</v>
      </c>
      <c r="C167" s="3" t="s">
        <v>20</v>
      </c>
      <c r="D167" s="3" t="s">
        <v>65</v>
      </c>
      <c r="E167" s="2" t="s">
        <v>36</v>
      </c>
      <c r="F167" s="4">
        <v>20125.96</v>
      </c>
      <c r="G167" s="4">
        <v>11340.62</v>
      </c>
      <c r="H167" s="4">
        <v>13081.87</v>
      </c>
      <c r="I167" s="5">
        <v>10.1</v>
      </c>
      <c r="J167" s="6">
        <v>66</v>
      </c>
      <c r="K167" s="7">
        <f t="shared" si="2"/>
        <v>-1741.25</v>
      </c>
    </row>
    <row r="168" spans="1:11" x14ac:dyDescent="0.2">
      <c r="A168" s="8" t="s">
        <v>197</v>
      </c>
      <c r="B168" s="8" t="s">
        <v>158</v>
      </c>
      <c r="C168" s="9" t="s">
        <v>22</v>
      </c>
      <c r="D168" s="9" t="s">
        <v>65</v>
      </c>
      <c r="E168" s="8" t="s">
        <v>36</v>
      </c>
      <c r="F168" s="10">
        <v>22276.49</v>
      </c>
      <c r="G168" s="10">
        <v>17249.43</v>
      </c>
      <c r="H168" s="10">
        <v>17375.66</v>
      </c>
      <c r="I168" s="11">
        <v>4.5</v>
      </c>
      <c r="J168" s="12">
        <v>65</v>
      </c>
      <c r="K168" s="13">
        <f t="shared" si="2"/>
        <v>-126.22999999999956</v>
      </c>
    </row>
    <row r="169" spans="1:11" x14ac:dyDescent="0.2">
      <c r="A169" s="2" t="s">
        <v>198</v>
      </c>
      <c r="B169" s="2" t="s">
        <v>158</v>
      </c>
      <c r="C169" s="3" t="s">
        <v>24</v>
      </c>
      <c r="D169" s="3" t="s">
        <v>65</v>
      </c>
      <c r="E169" s="2" t="s">
        <v>36</v>
      </c>
      <c r="F169" s="4">
        <v>23163.55</v>
      </c>
      <c r="G169" s="4">
        <v>11132.98</v>
      </c>
      <c r="H169" s="4">
        <v>12739.95</v>
      </c>
      <c r="I169" s="5">
        <v>14.6</v>
      </c>
      <c r="J169" s="6">
        <v>67</v>
      </c>
      <c r="K169" s="7">
        <f t="shared" si="2"/>
        <v>-1606.9700000000012</v>
      </c>
    </row>
    <row r="170" spans="1:11" x14ac:dyDescent="0.2">
      <c r="A170" s="8" t="s">
        <v>199</v>
      </c>
      <c r="B170" s="8" t="s">
        <v>158</v>
      </c>
      <c r="C170" s="9" t="s">
        <v>26</v>
      </c>
      <c r="D170" s="9" t="s">
        <v>65</v>
      </c>
      <c r="E170" s="8" t="s">
        <v>36</v>
      </c>
      <c r="F170" s="10">
        <v>22099.32</v>
      </c>
      <c r="G170" s="10">
        <v>14212.94</v>
      </c>
      <c r="H170" s="10">
        <v>15469.52</v>
      </c>
      <c r="I170" s="11">
        <v>7.7</v>
      </c>
      <c r="J170" s="12">
        <v>81</v>
      </c>
      <c r="K170" s="13">
        <f t="shared" si="2"/>
        <v>-1256.58</v>
      </c>
    </row>
    <row r="171" spans="1:11" x14ac:dyDescent="0.2">
      <c r="A171" s="2" t="s">
        <v>200</v>
      </c>
      <c r="B171" s="2" t="s">
        <v>201</v>
      </c>
      <c r="C171" s="3" t="s">
        <v>14</v>
      </c>
      <c r="D171" s="3" t="s">
        <v>15</v>
      </c>
      <c r="E171" s="2" t="s">
        <v>16</v>
      </c>
      <c r="F171" s="4">
        <v>30744.18</v>
      </c>
      <c r="G171" s="4">
        <v>20651.52</v>
      </c>
      <c r="H171" s="4">
        <v>22135.81</v>
      </c>
      <c r="I171" s="5">
        <v>7.6</v>
      </c>
      <c r="J171" s="6">
        <v>149</v>
      </c>
      <c r="K171" s="7">
        <f t="shared" si="2"/>
        <v>-1484.2900000000009</v>
      </c>
    </row>
    <row r="172" spans="1:11" x14ac:dyDescent="0.2">
      <c r="A172" s="8" t="s">
        <v>202</v>
      </c>
      <c r="B172" s="8" t="s">
        <v>201</v>
      </c>
      <c r="C172" s="9" t="s">
        <v>18</v>
      </c>
      <c r="D172" s="9" t="s">
        <v>15</v>
      </c>
      <c r="E172" s="8" t="s">
        <v>16</v>
      </c>
      <c r="F172" s="10">
        <v>29344.5</v>
      </c>
      <c r="G172" s="10">
        <v>17012.84</v>
      </c>
      <c r="H172" s="10">
        <v>19954.259999999998</v>
      </c>
      <c r="I172" s="11">
        <v>12.7</v>
      </c>
      <c r="J172" s="12">
        <v>132</v>
      </c>
      <c r="K172" s="13">
        <f t="shared" si="2"/>
        <v>-2941.4199999999983</v>
      </c>
    </row>
    <row r="173" spans="1:11" x14ac:dyDescent="0.2">
      <c r="A173" s="2" t="s">
        <v>203</v>
      </c>
      <c r="B173" s="2" t="s">
        <v>201</v>
      </c>
      <c r="C173" s="3" t="s">
        <v>20</v>
      </c>
      <c r="D173" s="3" t="s">
        <v>15</v>
      </c>
      <c r="E173" s="2" t="s">
        <v>16</v>
      </c>
      <c r="F173" s="4">
        <v>28898.400000000001</v>
      </c>
      <c r="G173" s="4">
        <v>16702.23</v>
      </c>
      <c r="H173" s="4">
        <v>18783.96</v>
      </c>
      <c r="I173" s="5">
        <v>8.6999999999999993</v>
      </c>
      <c r="J173" s="6">
        <v>126</v>
      </c>
      <c r="K173" s="7">
        <f t="shared" si="2"/>
        <v>-2081.7299999999996</v>
      </c>
    </row>
    <row r="174" spans="1:11" x14ac:dyDescent="0.2">
      <c r="A174" s="8" t="s">
        <v>204</v>
      </c>
      <c r="B174" s="8" t="s">
        <v>201</v>
      </c>
      <c r="C174" s="9" t="s">
        <v>22</v>
      </c>
      <c r="D174" s="9" t="s">
        <v>15</v>
      </c>
      <c r="E174" s="8" t="s">
        <v>16</v>
      </c>
      <c r="F174" s="10">
        <v>25214.98</v>
      </c>
      <c r="G174" s="10">
        <v>18824.52</v>
      </c>
      <c r="H174" s="10">
        <v>19667.68</v>
      </c>
      <c r="I174" s="11">
        <v>5</v>
      </c>
      <c r="J174" s="12">
        <v>135</v>
      </c>
      <c r="K174" s="13">
        <f t="shared" si="2"/>
        <v>-843.15999999999985</v>
      </c>
    </row>
    <row r="175" spans="1:11" x14ac:dyDescent="0.2">
      <c r="A175" s="2" t="s">
        <v>205</v>
      </c>
      <c r="B175" s="2" t="s">
        <v>201</v>
      </c>
      <c r="C175" s="3" t="s">
        <v>24</v>
      </c>
      <c r="D175" s="3" t="s">
        <v>15</v>
      </c>
      <c r="E175" s="2" t="s">
        <v>16</v>
      </c>
      <c r="F175" s="4">
        <v>26496.27</v>
      </c>
      <c r="G175" s="4">
        <v>12602.97</v>
      </c>
      <c r="H175" s="4">
        <v>14572.95</v>
      </c>
      <c r="I175" s="5">
        <v>14.9</v>
      </c>
      <c r="J175" s="6">
        <v>143</v>
      </c>
      <c r="K175" s="7">
        <f t="shared" si="2"/>
        <v>-1969.9800000000014</v>
      </c>
    </row>
    <row r="176" spans="1:11" x14ac:dyDescent="0.2">
      <c r="A176" s="8" t="s">
        <v>206</v>
      </c>
      <c r="B176" s="8" t="s">
        <v>201</v>
      </c>
      <c r="C176" s="9" t="s">
        <v>26</v>
      </c>
      <c r="D176" s="9" t="s">
        <v>15</v>
      </c>
      <c r="E176" s="8" t="s">
        <v>16</v>
      </c>
      <c r="F176" s="10">
        <v>29049.360000000001</v>
      </c>
      <c r="G176" s="10">
        <v>18909.73</v>
      </c>
      <c r="H176" s="10">
        <v>20334.55</v>
      </c>
      <c r="I176" s="11">
        <v>9.1</v>
      </c>
      <c r="J176" s="12">
        <v>150</v>
      </c>
      <c r="K176" s="13">
        <f t="shared" si="2"/>
        <v>-1424.8199999999997</v>
      </c>
    </row>
    <row r="177" spans="1:11" x14ac:dyDescent="0.2">
      <c r="A177" s="2" t="s">
        <v>207</v>
      </c>
      <c r="B177" s="2" t="s">
        <v>201</v>
      </c>
      <c r="C177" s="3" t="s">
        <v>14</v>
      </c>
      <c r="D177" s="3" t="s">
        <v>28</v>
      </c>
      <c r="E177" s="2" t="s">
        <v>16</v>
      </c>
      <c r="F177" s="4">
        <v>33031.57</v>
      </c>
      <c r="G177" s="4">
        <v>21394.47</v>
      </c>
      <c r="H177" s="4">
        <v>23782.73</v>
      </c>
      <c r="I177" s="5">
        <v>9.5</v>
      </c>
      <c r="J177" s="6">
        <v>99</v>
      </c>
      <c r="K177" s="7">
        <f t="shared" si="2"/>
        <v>-2388.2599999999984</v>
      </c>
    </row>
    <row r="178" spans="1:11" x14ac:dyDescent="0.2">
      <c r="A178" s="8" t="s">
        <v>208</v>
      </c>
      <c r="B178" s="8" t="s">
        <v>201</v>
      </c>
      <c r="C178" s="9" t="s">
        <v>18</v>
      </c>
      <c r="D178" s="9" t="s">
        <v>28</v>
      </c>
      <c r="E178" s="8" t="s">
        <v>16</v>
      </c>
      <c r="F178" s="10">
        <v>32944.86</v>
      </c>
      <c r="G178" s="10">
        <v>20091.41</v>
      </c>
      <c r="H178" s="10">
        <v>22402.5</v>
      </c>
      <c r="I178" s="11">
        <v>12.6</v>
      </c>
      <c r="J178" s="12">
        <v>85</v>
      </c>
      <c r="K178" s="13">
        <f t="shared" si="2"/>
        <v>-2311.09</v>
      </c>
    </row>
    <row r="179" spans="1:11" x14ac:dyDescent="0.2">
      <c r="A179" s="2" t="s">
        <v>209</v>
      </c>
      <c r="B179" s="2" t="s">
        <v>201</v>
      </c>
      <c r="C179" s="3" t="s">
        <v>20</v>
      </c>
      <c r="D179" s="3" t="s">
        <v>28</v>
      </c>
      <c r="E179" s="2" t="s">
        <v>16</v>
      </c>
      <c r="F179" s="4">
        <v>29861.91</v>
      </c>
      <c r="G179" s="4">
        <v>17995.32</v>
      </c>
      <c r="H179" s="4">
        <v>19410.240000000002</v>
      </c>
      <c r="I179" s="5">
        <v>9.1</v>
      </c>
      <c r="J179" s="6">
        <v>100</v>
      </c>
      <c r="K179" s="7">
        <f t="shared" si="2"/>
        <v>-1414.9200000000019</v>
      </c>
    </row>
    <row r="180" spans="1:11" x14ac:dyDescent="0.2">
      <c r="A180" s="8" t="s">
        <v>210</v>
      </c>
      <c r="B180" s="8" t="s">
        <v>201</v>
      </c>
      <c r="C180" s="9" t="s">
        <v>22</v>
      </c>
      <c r="D180" s="9" t="s">
        <v>28</v>
      </c>
      <c r="E180" s="8" t="s">
        <v>16</v>
      </c>
      <c r="F180" s="10">
        <v>30647.11</v>
      </c>
      <c r="G180" s="10">
        <v>23294.95</v>
      </c>
      <c r="H180" s="10">
        <v>23904.75</v>
      </c>
      <c r="I180" s="11">
        <v>4</v>
      </c>
      <c r="J180" s="12">
        <v>103</v>
      </c>
      <c r="K180" s="13">
        <f t="shared" si="2"/>
        <v>-609.79999999999927</v>
      </c>
    </row>
    <row r="181" spans="1:11" x14ac:dyDescent="0.2">
      <c r="A181" s="2" t="s">
        <v>211</v>
      </c>
      <c r="B181" s="2" t="s">
        <v>201</v>
      </c>
      <c r="C181" s="3" t="s">
        <v>24</v>
      </c>
      <c r="D181" s="3" t="s">
        <v>28</v>
      </c>
      <c r="E181" s="2" t="s">
        <v>16</v>
      </c>
      <c r="F181" s="4">
        <v>34833.129999999997</v>
      </c>
      <c r="G181" s="4">
        <v>16410.439999999999</v>
      </c>
      <c r="H181" s="4">
        <v>19158.22</v>
      </c>
      <c r="I181" s="5">
        <v>14.3</v>
      </c>
      <c r="J181" s="6">
        <v>85</v>
      </c>
      <c r="K181" s="7">
        <f t="shared" si="2"/>
        <v>-2747.7800000000025</v>
      </c>
    </row>
    <row r="182" spans="1:11" x14ac:dyDescent="0.2">
      <c r="A182" s="8" t="s">
        <v>212</v>
      </c>
      <c r="B182" s="8" t="s">
        <v>201</v>
      </c>
      <c r="C182" s="9" t="s">
        <v>26</v>
      </c>
      <c r="D182" s="9" t="s">
        <v>28</v>
      </c>
      <c r="E182" s="8" t="s">
        <v>16</v>
      </c>
      <c r="F182" s="10">
        <v>29055.11</v>
      </c>
      <c r="G182" s="10">
        <v>18525.72</v>
      </c>
      <c r="H182" s="10">
        <v>20338.580000000002</v>
      </c>
      <c r="I182" s="11">
        <v>7.6</v>
      </c>
      <c r="J182" s="12">
        <v>90</v>
      </c>
      <c r="K182" s="13">
        <f t="shared" si="2"/>
        <v>-1812.8600000000006</v>
      </c>
    </row>
    <row r="183" spans="1:11" x14ac:dyDescent="0.2">
      <c r="A183" s="2" t="s">
        <v>213</v>
      </c>
      <c r="B183" s="2" t="s">
        <v>201</v>
      </c>
      <c r="C183" s="3" t="s">
        <v>14</v>
      </c>
      <c r="D183" s="3" t="s">
        <v>35</v>
      </c>
      <c r="E183" s="2" t="s">
        <v>36</v>
      </c>
      <c r="F183" s="4">
        <v>16528.78</v>
      </c>
      <c r="G183" s="4">
        <v>11047.4</v>
      </c>
      <c r="H183" s="4">
        <v>11900.72</v>
      </c>
      <c r="I183" s="5">
        <v>9.6</v>
      </c>
      <c r="J183" s="6">
        <v>63</v>
      </c>
      <c r="K183" s="7">
        <f t="shared" si="2"/>
        <v>-853.31999999999971</v>
      </c>
    </row>
    <row r="184" spans="1:11" x14ac:dyDescent="0.2">
      <c r="A184" s="8" t="s">
        <v>214</v>
      </c>
      <c r="B184" s="8" t="s">
        <v>201</v>
      </c>
      <c r="C184" s="9" t="s">
        <v>18</v>
      </c>
      <c r="D184" s="9" t="s">
        <v>35</v>
      </c>
      <c r="E184" s="8" t="s">
        <v>36</v>
      </c>
      <c r="F184" s="10">
        <v>19622.830000000002</v>
      </c>
      <c r="G184" s="10">
        <v>11782.39</v>
      </c>
      <c r="H184" s="10">
        <v>13343.52</v>
      </c>
      <c r="I184" s="11">
        <v>12.9</v>
      </c>
      <c r="J184" s="12">
        <v>57</v>
      </c>
      <c r="K184" s="13">
        <f t="shared" si="2"/>
        <v>-1561.130000000001</v>
      </c>
    </row>
    <row r="185" spans="1:11" x14ac:dyDescent="0.2">
      <c r="A185" s="2" t="s">
        <v>215</v>
      </c>
      <c r="B185" s="2" t="s">
        <v>201</v>
      </c>
      <c r="C185" s="3" t="s">
        <v>20</v>
      </c>
      <c r="D185" s="3" t="s">
        <v>35</v>
      </c>
      <c r="E185" s="2" t="s">
        <v>36</v>
      </c>
      <c r="F185" s="4">
        <v>16344.83</v>
      </c>
      <c r="G185" s="4">
        <v>9486.17</v>
      </c>
      <c r="H185" s="4">
        <v>10624.14</v>
      </c>
      <c r="I185" s="5">
        <v>10.5</v>
      </c>
      <c r="J185" s="6">
        <v>64</v>
      </c>
      <c r="K185" s="7">
        <f t="shared" si="2"/>
        <v>-1137.9699999999993</v>
      </c>
    </row>
    <row r="186" spans="1:11" x14ac:dyDescent="0.2">
      <c r="A186" s="8" t="s">
        <v>216</v>
      </c>
      <c r="B186" s="8" t="s">
        <v>201</v>
      </c>
      <c r="C186" s="9" t="s">
        <v>22</v>
      </c>
      <c r="D186" s="9" t="s">
        <v>35</v>
      </c>
      <c r="E186" s="8" t="s">
        <v>36</v>
      </c>
      <c r="F186" s="10">
        <v>19497.86</v>
      </c>
      <c r="G186" s="10">
        <v>14684.35</v>
      </c>
      <c r="H186" s="10">
        <v>15208.33</v>
      </c>
      <c r="I186" s="11">
        <v>4.0999999999999996</v>
      </c>
      <c r="J186" s="12">
        <v>64</v>
      </c>
      <c r="K186" s="13">
        <f t="shared" si="2"/>
        <v>-523.97999999999956</v>
      </c>
    </row>
    <row r="187" spans="1:11" x14ac:dyDescent="0.2">
      <c r="A187" s="2" t="s">
        <v>217</v>
      </c>
      <c r="B187" s="2" t="s">
        <v>201</v>
      </c>
      <c r="C187" s="3" t="s">
        <v>24</v>
      </c>
      <c r="D187" s="3" t="s">
        <v>35</v>
      </c>
      <c r="E187" s="2" t="s">
        <v>36</v>
      </c>
      <c r="F187" s="4">
        <v>17970.21</v>
      </c>
      <c r="G187" s="4">
        <v>8484.4</v>
      </c>
      <c r="H187" s="4">
        <v>9883.6200000000008</v>
      </c>
      <c r="I187" s="5">
        <v>13.1</v>
      </c>
      <c r="J187" s="6">
        <v>58</v>
      </c>
      <c r="K187" s="7">
        <f t="shared" si="2"/>
        <v>-1399.2200000000012</v>
      </c>
    </row>
    <row r="188" spans="1:11" x14ac:dyDescent="0.2">
      <c r="A188" s="8" t="s">
        <v>218</v>
      </c>
      <c r="B188" s="8" t="s">
        <v>201</v>
      </c>
      <c r="C188" s="9" t="s">
        <v>26</v>
      </c>
      <c r="D188" s="9" t="s">
        <v>35</v>
      </c>
      <c r="E188" s="8" t="s">
        <v>36</v>
      </c>
      <c r="F188" s="10">
        <v>18612.48</v>
      </c>
      <c r="G188" s="10">
        <v>11707.57</v>
      </c>
      <c r="H188" s="10">
        <v>13028.74</v>
      </c>
      <c r="I188" s="11">
        <v>8.9</v>
      </c>
      <c r="J188" s="12">
        <v>65</v>
      </c>
      <c r="K188" s="13">
        <f t="shared" si="2"/>
        <v>-1321.17</v>
      </c>
    </row>
    <row r="189" spans="1:11" x14ac:dyDescent="0.2">
      <c r="A189" s="2" t="s">
        <v>219</v>
      </c>
      <c r="B189" s="2" t="s">
        <v>201</v>
      </c>
      <c r="C189" s="3" t="s">
        <v>14</v>
      </c>
      <c r="D189" s="3" t="s">
        <v>43</v>
      </c>
      <c r="E189" s="2" t="s">
        <v>16</v>
      </c>
      <c r="F189" s="4">
        <v>13407.01</v>
      </c>
      <c r="G189" s="4">
        <v>8955.16</v>
      </c>
      <c r="H189" s="4">
        <v>9653.0499999999993</v>
      </c>
      <c r="I189" s="5">
        <v>9.5</v>
      </c>
      <c r="J189" s="6">
        <v>189</v>
      </c>
      <c r="K189" s="7">
        <f t="shared" si="2"/>
        <v>-697.88999999999942</v>
      </c>
    </row>
    <row r="190" spans="1:11" x14ac:dyDescent="0.2">
      <c r="A190" s="8" t="s">
        <v>220</v>
      </c>
      <c r="B190" s="8" t="s">
        <v>201</v>
      </c>
      <c r="C190" s="9" t="s">
        <v>18</v>
      </c>
      <c r="D190" s="9" t="s">
        <v>43</v>
      </c>
      <c r="E190" s="8" t="s">
        <v>16</v>
      </c>
      <c r="F190" s="10">
        <v>13873.51</v>
      </c>
      <c r="G190" s="10">
        <v>8296.15</v>
      </c>
      <c r="H190" s="10">
        <v>9433.99</v>
      </c>
      <c r="I190" s="11">
        <v>10.8</v>
      </c>
      <c r="J190" s="12">
        <v>213</v>
      </c>
      <c r="K190" s="13">
        <f t="shared" si="2"/>
        <v>-1137.8400000000001</v>
      </c>
    </row>
    <row r="191" spans="1:11" x14ac:dyDescent="0.2">
      <c r="A191" s="2" t="s">
        <v>221</v>
      </c>
      <c r="B191" s="2" t="s">
        <v>201</v>
      </c>
      <c r="C191" s="3" t="s">
        <v>20</v>
      </c>
      <c r="D191" s="3" t="s">
        <v>43</v>
      </c>
      <c r="E191" s="2" t="s">
        <v>16</v>
      </c>
      <c r="F191" s="4">
        <v>13731.69</v>
      </c>
      <c r="G191" s="4">
        <v>8374.5499999999993</v>
      </c>
      <c r="H191" s="4">
        <v>8925.6</v>
      </c>
      <c r="I191" s="5">
        <v>9.6999999999999993</v>
      </c>
      <c r="J191" s="6">
        <v>195</v>
      </c>
      <c r="K191" s="7">
        <f t="shared" si="2"/>
        <v>-551.05000000000109</v>
      </c>
    </row>
    <row r="192" spans="1:11" x14ac:dyDescent="0.2">
      <c r="A192" s="8" t="s">
        <v>222</v>
      </c>
      <c r="B192" s="8" t="s">
        <v>201</v>
      </c>
      <c r="C192" s="9" t="s">
        <v>22</v>
      </c>
      <c r="D192" s="9" t="s">
        <v>43</v>
      </c>
      <c r="E192" s="8" t="s">
        <v>16</v>
      </c>
      <c r="F192" s="10">
        <v>14119.26</v>
      </c>
      <c r="G192" s="10">
        <v>10222.35</v>
      </c>
      <c r="H192" s="10">
        <v>11013.02</v>
      </c>
      <c r="I192" s="11">
        <v>4.8</v>
      </c>
      <c r="J192" s="12">
        <v>179</v>
      </c>
      <c r="K192" s="13">
        <f t="shared" si="2"/>
        <v>-790.67000000000007</v>
      </c>
    </row>
    <row r="193" spans="1:11" x14ac:dyDescent="0.2">
      <c r="A193" s="2" t="s">
        <v>223</v>
      </c>
      <c r="B193" s="2" t="s">
        <v>201</v>
      </c>
      <c r="C193" s="3" t="s">
        <v>24</v>
      </c>
      <c r="D193" s="3" t="s">
        <v>43</v>
      </c>
      <c r="E193" s="2" t="s">
        <v>16</v>
      </c>
      <c r="F193" s="4">
        <v>14718.04</v>
      </c>
      <c r="G193" s="4">
        <v>7048.58</v>
      </c>
      <c r="H193" s="4">
        <v>8094.92</v>
      </c>
      <c r="I193" s="5">
        <v>14.7</v>
      </c>
      <c r="J193" s="6">
        <v>170</v>
      </c>
      <c r="K193" s="7">
        <f t="shared" si="2"/>
        <v>-1046.3400000000001</v>
      </c>
    </row>
    <row r="194" spans="1:11" x14ac:dyDescent="0.2">
      <c r="A194" s="8" t="s">
        <v>224</v>
      </c>
      <c r="B194" s="8" t="s">
        <v>201</v>
      </c>
      <c r="C194" s="9" t="s">
        <v>26</v>
      </c>
      <c r="D194" s="9" t="s">
        <v>43</v>
      </c>
      <c r="E194" s="8" t="s">
        <v>16</v>
      </c>
      <c r="F194" s="10">
        <v>14137.81</v>
      </c>
      <c r="G194" s="10">
        <v>8951.36</v>
      </c>
      <c r="H194" s="10">
        <v>9896.4699999999993</v>
      </c>
      <c r="I194" s="11">
        <v>9.1</v>
      </c>
      <c r="J194" s="12">
        <v>198</v>
      </c>
      <c r="K194" s="13">
        <f t="shared" si="2"/>
        <v>-945.10999999999876</v>
      </c>
    </row>
    <row r="195" spans="1:11" x14ac:dyDescent="0.2">
      <c r="A195" s="2" t="s">
        <v>225</v>
      </c>
      <c r="B195" s="2" t="s">
        <v>201</v>
      </c>
      <c r="C195" s="3" t="s">
        <v>14</v>
      </c>
      <c r="D195" s="3" t="s">
        <v>50</v>
      </c>
      <c r="E195" s="2" t="s">
        <v>51</v>
      </c>
      <c r="F195" s="4">
        <v>6007.85</v>
      </c>
      <c r="G195" s="4">
        <v>3944.45</v>
      </c>
      <c r="H195" s="4">
        <v>4325.6499999999996</v>
      </c>
      <c r="I195" s="5">
        <v>9.6</v>
      </c>
      <c r="J195" s="6">
        <v>379</v>
      </c>
      <c r="K195" s="7">
        <f t="shared" ref="K195:K258" si="3">G195-H195</f>
        <v>-381.19999999999982</v>
      </c>
    </row>
    <row r="196" spans="1:11" x14ac:dyDescent="0.2">
      <c r="A196" s="8" t="s">
        <v>226</v>
      </c>
      <c r="B196" s="8" t="s">
        <v>201</v>
      </c>
      <c r="C196" s="9" t="s">
        <v>18</v>
      </c>
      <c r="D196" s="9" t="s">
        <v>50</v>
      </c>
      <c r="E196" s="8" t="s">
        <v>51</v>
      </c>
      <c r="F196" s="10">
        <v>6055.89</v>
      </c>
      <c r="G196" s="10">
        <v>3655.54</v>
      </c>
      <c r="H196" s="10">
        <v>4118.01</v>
      </c>
      <c r="I196" s="11">
        <v>11.6</v>
      </c>
      <c r="J196" s="12">
        <v>361</v>
      </c>
      <c r="K196" s="13">
        <f t="shared" si="3"/>
        <v>-462.47000000000025</v>
      </c>
    </row>
    <row r="197" spans="1:11" x14ac:dyDescent="0.2">
      <c r="A197" s="2" t="s">
        <v>227</v>
      </c>
      <c r="B197" s="2" t="s">
        <v>201</v>
      </c>
      <c r="C197" s="3" t="s">
        <v>20</v>
      </c>
      <c r="D197" s="3" t="s">
        <v>50</v>
      </c>
      <c r="E197" s="2" t="s">
        <v>51</v>
      </c>
      <c r="F197" s="4">
        <v>7139.93</v>
      </c>
      <c r="G197" s="4">
        <v>4122.33</v>
      </c>
      <c r="H197" s="4">
        <v>4640.95</v>
      </c>
      <c r="I197" s="5">
        <v>10.9</v>
      </c>
      <c r="J197" s="6">
        <v>364</v>
      </c>
      <c r="K197" s="7">
        <f t="shared" si="3"/>
        <v>-518.61999999999989</v>
      </c>
    </row>
    <row r="198" spans="1:11" x14ac:dyDescent="0.2">
      <c r="A198" s="8" t="s">
        <v>228</v>
      </c>
      <c r="B198" s="8" t="s">
        <v>201</v>
      </c>
      <c r="C198" s="9" t="s">
        <v>22</v>
      </c>
      <c r="D198" s="9" t="s">
        <v>50</v>
      </c>
      <c r="E198" s="8" t="s">
        <v>51</v>
      </c>
      <c r="F198" s="10">
        <v>6931.79</v>
      </c>
      <c r="G198" s="10">
        <v>5219.97</v>
      </c>
      <c r="H198" s="10">
        <v>5406.8</v>
      </c>
      <c r="I198" s="11">
        <v>5.0999999999999996</v>
      </c>
      <c r="J198" s="12">
        <v>413</v>
      </c>
      <c r="K198" s="13">
        <f t="shared" si="3"/>
        <v>-186.82999999999993</v>
      </c>
    </row>
    <row r="199" spans="1:11" x14ac:dyDescent="0.2">
      <c r="A199" s="2" t="s">
        <v>229</v>
      </c>
      <c r="B199" s="2" t="s">
        <v>201</v>
      </c>
      <c r="C199" s="3" t="s">
        <v>24</v>
      </c>
      <c r="D199" s="3" t="s">
        <v>50</v>
      </c>
      <c r="E199" s="2" t="s">
        <v>51</v>
      </c>
      <c r="F199" s="4">
        <v>6205.45</v>
      </c>
      <c r="G199" s="4">
        <v>3001.87</v>
      </c>
      <c r="H199" s="4">
        <v>3413</v>
      </c>
      <c r="I199" s="5">
        <v>15.3</v>
      </c>
      <c r="J199" s="6">
        <v>380</v>
      </c>
      <c r="K199" s="7">
        <f t="shared" si="3"/>
        <v>-411.13000000000011</v>
      </c>
    </row>
    <row r="200" spans="1:11" x14ac:dyDescent="0.2">
      <c r="A200" s="8" t="s">
        <v>230</v>
      </c>
      <c r="B200" s="8" t="s">
        <v>201</v>
      </c>
      <c r="C200" s="9" t="s">
        <v>26</v>
      </c>
      <c r="D200" s="9" t="s">
        <v>50</v>
      </c>
      <c r="E200" s="8" t="s">
        <v>51</v>
      </c>
      <c r="F200" s="10">
        <v>6566.64</v>
      </c>
      <c r="G200" s="10">
        <v>4395.3999999999996</v>
      </c>
      <c r="H200" s="10">
        <v>4596.6499999999996</v>
      </c>
      <c r="I200" s="11">
        <v>7.5</v>
      </c>
      <c r="J200" s="12">
        <v>413</v>
      </c>
      <c r="K200" s="13">
        <f t="shared" si="3"/>
        <v>-201.25</v>
      </c>
    </row>
    <row r="201" spans="1:11" x14ac:dyDescent="0.2">
      <c r="A201" s="2" t="s">
        <v>231</v>
      </c>
      <c r="B201" s="2" t="s">
        <v>201</v>
      </c>
      <c r="C201" s="3" t="s">
        <v>14</v>
      </c>
      <c r="D201" s="3" t="s">
        <v>58</v>
      </c>
      <c r="E201" s="2" t="s">
        <v>51</v>
      </c>
      <c r="F201" s="4">
        <v>4518.63</v>
      </c>
      <c r="G201" s="4">
        <v>2898.02</v>
      </c>
      <c r="H201" s="4">
        <v>3253.41</v>
      </c>
      <c r="I201" s="5">
        <v>9.3000000000000007</v>
      </c>
      <c r="J201" s="6">
        <v>584</v>
      </c>
      <c r="K201" s="7">
        <f t="shared" si="3"/>
        <v>-355.38999999999987</v>
      </c>
    </row>
    <row r="202" spans="1:11" x14ac:dyDescent="0.2">
      <c r="A202" s="8" t="s">
        <v>232</v>
      </c>
      <c r="B202" s="8" t="s">
        <v>201</v>
      </c>
      <c r="C202" s="9" t="s">
        <v>18</v>
      </c>
      <c r="D202" s="9" t="s">
        <v>58</v>
      </c>
      <c r="E202" s="8" t="s">
        <v>51</v>
      </c>
      <c r="F202" s="10">
        <v>4128.55</v>
      </c>
      <c r="G202" s="10">
        <v>2452.39</v>
      </c>
      <c r="H202" s="10">
        <v>2807.41</v>
      </c>
      <c r="I202" s="11">
        <v>12.7</v>
      </c>
      <c r="J202" s="12">
        <v>589</v>
      </c>
      <c r="K202" s="13">
        <f t="shared" si="3"/>
        <v>-355.02</v>
      </c>
    </row>
    <row r="203" spans="1:11" x14ac:dyDescent="0.2">
      <c r="A203" s="2" t="s">
        <v>233</v>
      </c>
      <c r="B203" s="2" t="s">
        <v>201</v>
      </c>
      <c r="C203" s="3" t="s">
        <v>20</v>
      </c>
      <c r="D203" s="3" t="s">
        <v>58</v>
      </c>
      <c r="E203" s="2" t="s">
        <v>51</v>
      </c>
      <c r="F203" s="4">
        <v>4017.58</v>
      </c>
      <c r="G203" s="4">
        <v>2390.3000000000002</v>
      </c>
      <c r="H203" s="4">
        <v>2611.4299999999998</v>
      </c>
      <c r="I203" s="5">
        <v>9.1</v>
      </c>
      <c r="J203" s="6">
        <v>618</v>
      </c>
      <c r="K203" s="7">
        <f t="shared" si="3"/>
        <v>-221.12999999999965</v>
      </c>
    </row>
    <row r="204" spans="1:11" x14ac:dyDescent="0.2">
      <c r="A204" s="8" t="s">
        <v>234</v>
      </c>
      <c r="B204" s="8" t="s">
        <v>201</v>
      </c>
      <c r="C204" s="9" t="s">
        <v>22</v>
      </c>
      <c r="D204" s="9" t="s">
        <v>58</v>
      </c>
      <c r="E204" s="8" t="s">
        <v>51</v>
      </c>
      <c r="F204" s="10">
        <v>4191.3</v>
      </c>
      <c r="G204" s="10">
        <v>3148.13</v>
      </c>
      <c r="H204" s="10">
        <v>3269.21</v>
      </c>
      <c r="I204" s="11">
        <v>4</v>
      </c>
      <c r="J204" s="12">
        <v>513</v>
      </c>
      <c r="K204" s="13">
        <f t="shared" si="3"/>
        <v>-121.07999999999993</v>
      </c>
    </row>
    <row r="205" spans="1:11" x14ac:dyDescent="0.2">
      <c r="A205" s="2" t="s">
        <v>235</v>
      </c>
      <c r="B205" s="2" t="s">
        <v>201</v>
      </c>
      <c r="C205" s="3" t="s">
        <v>24</v>
      </c>
      <c r="D205" s="3" t="s">
        <v>58</v>
      </c>
      <c r="E205" s="2" t="s">
        <v>51</v>
      </c>
      <c r="F205" s="4">
        <v>4243.6099999999997</v>
      </c>
      <c r="G205" s="4">
        <v>1990.76</v>
      </c>
      <c r="H205" s="4">
        <v>2333.9899999999998</v>
      </c>
      <c r="I205" s="5">
        <v>14.4</v>
      </c>
      <c r="J205" s="6">
        <v>509</v>
      </c>
      <c r="K205" s="7">
        <f t="shared" si="3"/>
        <v>-343.22999999999979</v>
      </c>
    </row>
    <row r="206" spans="1:11" x14ac:dyDescent="0.2">
      <c r="A206" s="8" t="s">
        <v>236</v>
      </c>
      <c r="B206" s="8" t="s">
        <v>201</v>
      </c>
      <c r="C206" s="9" t="s">
        <v>26</v>
      </c>
      <c r="D206" s="9" t="s">
        <v>58</v>
      </c>
      <c r="E206" s="8" t="s">
        <v>51</v>
      </c>
      <c r="F206" s="10">
        <v>3938.47</v>
      </c>
      <c r="G206" s="10">
        <v>2539.85</v>
      </c>
      <c r="H206" s="10">
        <v>2756.93</v>
      </c>
      <c r="I206" s="11">
        <v>8.4</v>
      </c>
      <c r="J206" s="12">
        <v>494</v>
      </c>
      <c r="K206" s="13">
        <f t="shared" si="3"/>
        <v>-217.07999999999993</v>
      </c>
    </row>
    <row r="207" spans="1:11" x14ac:dyDescent="0.2">
      <c r="A207" s="2" t="s">
        <v>237</v>
      </c>
      <c r="B207" s="2" t="s">
        <v>201</v>
      </c>
      <c r="C207" s="3" t="s">
        <v>14</v>
      </c>
      <c r="D207" s="3" t="s">
        <v>65</v>
      </c>
      <c r="E207" s="2" t="s">
        <v>36</v>
      </c>
      <c r="F207" s="4">
        <v>23212.400000000001</v>
      </c>
      <c r="G207" s="4">
        <v>15881.38</v>
      </c>
      <c r="H207" s="4">
        <v>16712.93</v>
      </c>
      <c r="I207" s="5">
        <v>6.8</v>
      </c>
      <c r="J207" s="6">
        <v>78</v>
      </c>
      <c r="K207" s="7">
        <f t="shared" si="3"/>
        <v>-831.55000000000109</v>
      </c>
    </row>
    <row r="208" spans="1:11" x14ac:dyDescent="0.2">
      <c r="A208" s="8" t="s">
        <v>238</v>
      </c>
      <c r="B208" s="8" t="s">
        <v>201</v>
      </c>
      <c r="C208" s="9" t="s">
        <v>18</v>
      </c>
      <c r="D208" s="9" t="s">
        <v>65</v>
      </c>
      <c r="E208" s="8" t="s">
        <v>36</v>
      </c>
      <c r="F208" s="10">
        <v>23370.2</v>
      </c>
      <c r="G208" s="10">
        <v>14312.76</v>
      </c>
      <c r="H208" s="10">
        <v>15891.74</v>
      </c>
      <c r="I208" s="11">
        <v>11.1</v>
      </c>
      <c r="J208" s="12">
        <v>81</v>
      </c>
      <c r="K208" s="13">
        <f t="shared" si="3"/>
        <v>-1578.9799999999996</v>
      </c>
    </row>
    <row r="209" spans="1:11" x14ac:dyDescent="0.2">
      <c r="A209" s="2" t="s">
        <v>239</v>
      </c>
      <c r="B209" s="2" t="s">
        <v>201</v>
      </c>
      <c r="C209" s="3" t="s">
        <v>20</v>
      </c>
      <c r="D209" s="3" t="s">
        <v>65</v>
      </c>
      <c r="E209" s="2" t="s">
        <v>36</v>
      </c>
      <c r="F209" s="4">
        <v>24115.599999999999</v>
      </c>
      <c r="G209" s="4">
        <v>13630.39</v>
      </c>
      <c r="H209" s="4">
        <v>15675.14</v>
      </c>
      <c r="I209" s="5">
        <v>9.6999999999999993</v>
      </c>
      <c r="J209" s="6">
        <v>74</v>
      </c>
      <c r="K209" s="7">
        <f t="shared" si="3"/>
        <v>-2044.75</v>
      </c>
    </row>
    <row r="210" spans="1:11" x14ac:dyDescent="0.2">
      <c r="A210" s="8" t="s">
        <v>240</v>
      </c>
      <c r="B210" s="8" t="s">
        <v>201</v>
      </c>
      <c r="C210" s="9" t="s">
        <v>22</v>
      </c>
      <c r="D210" s="9" t="s">
        <v>65</v>
      </c>
      <c r="E210" s="8" t="s">
        <v>36</v>
      </c>
      <c r="F210" s="10">
        <v>22396.79</v>
      </c>
      <c r="G210" s="10">
        <v>16876.919999999998</v>
      </c>
      <c r="H210" s="10">
        <v>17469.5</v>
      </c>
      <c r="I210" s="11">
        <v>6.2</v>
      </c>
      <c r="J210" s="12">
        <v>72</v>
      </c>
      <c r="K210" s="13">
        <f t="shared" si="3"/>
        <v>-592.58000000000175</v>
      </c>
    </row>
    <row r="211" spans="1:11" x14ac:dyDescent="0.2">
      <c r="A211" s="2" t="s">
        <v>241</v>
      </c>
      <c r="B211" s="2" t="s">
        <v>201</v>
      </c>
      <c r="C211" s="3" t="s">
        <v>24</v>
      </c>
      <c r="D211" s="3" t="s">
        <v>65</v>
      </c>
      <c r="E211" s="2" t="s">
        <v>36</v>
      </c>
      <c r="F211" s="4">
        <v>22114.18</v>
      </c>
      <c r="G211" s="4">
        <v>10621.39</v>
      </c>
      <c r="H211" s="4">
        <v>12162.8</v>
      </c>
      <c r="I211" s="5">
        <v>14.2</v>
      </c>
      <c r="J211" s="6">
        <v>72</v>
      </c>
      <c r="K211" s="7">
        <f t="shared" si="3"/>
        <v>-1541.4099999999999</v>
      </c>
    </row>
    <row r="212" spans="1:11" x14ac:dyDescent="0.2">
      <c r="A212" s="8" t="s">
        <v>242</v>
      </c>
      <c r="B212" s="8" t="s">
        <v>201</v>
      </c>
      <c r="C212" s="9" t="s">
        <v>26</v>
      </c>
      <c r="D212" s="9" t="s">
        <v>65</v>
      </c>
      <c r="E212" s="8" t="s">
        <v>36</v>
      </c>
      <c r="F212" s="10">
        <v>22681.040000000001</v>
      </c>
      <c r="G212" s="10">
        <v>14761</v>
      </c>
      <c r="H212" s="10">
        <v>15876.73</v>
      </c>
      <c r="I212" s="11">
        <v>6.8</v>
      </c>
      <c r="J212" s="12">
        <v>84</v>
      </c>
      <c r="K212" s="13">
        <f t="shared" si="3"/>
        <v>-1115.7299999999996</v>
      </c>
    </row>
    <row r="213" spans="1:11" x14ac:dyDescent="0.2">
      <c r="A213" s="2" t="s">
        <v>243</v>
      </c>
      <c r="B213" s="2" t="s">
        <v>244</v>
      </c>
      <c r="C213" s="3" t="s">
        <v>14</v>
      </c>
      <c r="D213" s="3" t="s">
        <v>15</v>
      </c>
      <c r="E213" s="2" t="s">
        <v>16</v>
      </c>
      <c r="F213" s="4">
        <v>27095.94</v>
      </c>
      <c r="G213" s="4">
        <v>18005.560000000001</v>
      </c>
      <c r="H213" s="4">
        <v>19509.080000000002</v>
      </c>
      <c r="I213" s="5">
        <v>8.8000000000000007</v>
      </c>
      <c r="J213" s="6">
        <v>160</v>
      </c>
      <c r="K213" s="7">
        <f t="shared" si="3"/>
        <v>-1503.5200000000004</v>
      </c>
    </row>
    <row r="214" spans="1:11" x14ac:dyDescent="0.2">
      <c r="A214" s="8" t="s">
        <v>245</v>
      </c>
      <c r="B214" s="8" t="s">
        <v>244</v>
      </c>
      <c r="C214" s="9" t="s">
        <v>18</v>
      </c>
      <c r="D214" s="9" t="s">
        <v>15</v>
      </c>
      <c r="E214" s="8" t="s">
        <v>16</v>
      </c>
      <c r="F214" s="10">
        <v>29973.11</v>
      </c>
      <c r="G214" s="10">
        <v>17662.8</v>
      </c>
      <c r="H214" s="10">
        <v>20381.71</v>
      </c>
      <c r="I214" s="11">
        <v>12.5</v>
      </c>
      <c r="J214" s="12">
        <v>137</v>
      </c>
      <c r="K214" s="13">
        <f t="shared" si="3"/>
        <v>-2718.91</v>
      </c>
    </row>
    <row r="215" spans="1:11" x14ac:dyDescent="0.2">
      <c r="A215" s="2" t="s">
        <v>246</v>
      </c>
      <c r="B215" s="2" t="s">
        <v>244</v>
      </c>
      <c r="C215" s="3" t="s">
        <v>20</v>
      </c>
      <c r="D215" s="3" t="s">
        <v>15</v>
      </c>
      <c r="E215" s="2" t="s">
        <v>16</v>
      </c>
      <c r="F215" s="4">
        <v>29224.82</v>
      </c>
      <c r="G215" s="4">
        <v>17508.02</v>
      </c>
      <c r="H215" s="4">
        <v>18996.13</v>
      </c>
      <c r="I215" s="5">
        <v>10.5</v>
      </c>
      <c r="J215" s="6">
        <v>124</v>
      </c>
      <c r="K215" s="7">
        <f t="shared" si="3"/>
        <v>-1488.1100000000006</v>
      </c>
    </row>
    <row r="216" spans="1:11" x14ac:dyDescent="0.2">
      <c r="A216" s="8" t="s">
        <v>247</v>
      </c>
      <c r="B216" s="8" t="s">
        <v>244</v>
      </c>
      <c r="C216" s="9" t="s">
        <v>22</v>
      </c>
      <c r="D216" s="9" t="s">
        <v>15</v>
      </c>
      <c r="E216" s="8" t="s">
        <v>16</v>
      </c>
      <c r="F216" s="10">
        <v>25583.16</v>
      </c>
      <c r="G216" s="10">
        <v>19492.349999999999</v>
      </c>
      <c r="H216" s="10">
        <v>19954.86</v>
      </c>
      <c r="I216" s="11">
        <v>5.5</v>
      </c>
      <c r="J216" s="12">
        <v>166</v>
      </c>
      <c r="K216" s="13">
        <f t="shared" si="3"/>
        <v>-462.51000000000204</v>
      </c>
    </row>
    <row r="217" spans="1:11" x14ac:dyDescent="0.2">
      <c r="A217" s="2" t="s">
        <v>248</v>
      </c>
      <c r="B217" s="2" t="s">
        <v>244</v>
      </c>
      <c r="C217" s="3" t="s">
        <v>24</v>
      </c>
      <c r="D217" s="3" t="s">
        <v>15</v>
      </c>
      <c r="E217" s="2" t="s">
        <v>16</v>
      </c>
      <c r="F217" s="4">
        <v>29381.89</v>
      </c>
      <c r="G217" s="4">
        <v>13435.54</v>
      </c>
      <c r="H217" s="4">
        <v>16160.04</v>
      </c>
      <c r="I217" s="5">
        <v>14.1</v>
      </c>
      <c r="J217" s="6">
        <v>150</v>
      </c>
      <c r="K217" s="7">
        <f t="shared" si="3"/>
        <v>-2724.5</v>
      </c>
    </row>
    <row r="218" spans="1:11" x14ac:dyDescent="0.2">
      <c r="A218" s="8" t="s">
        <v>249</v>
      </c>
      <c r="B218" s="8" t="s">
        <v>244</v>
      </c>
      <c r="C218" s="9" t="s">
        <v>26</v>
      </c>
      <c r="D218" s="9" t="s">
        <v>15</v>
      </c>
      <c r="E218" s="8" t="s">
        <v>16</v>
      </c>
      <c r="F218" s="10">
        <v>30086.44</v>
      </c>
      <c r="G218" s="10">
        <v>19761.93</v>
      </c>
      <c r="H218" s="10">
        <v>21060.51</v>
      </c>
      <c r="I218" s="11">
        <v>7.6</v>
      </c>
      <c r="J218" s="12">
        <v>162</v>
      </c>
      <c r="K218" s="13">
        <f t="shared" si="3"/>
        <v>-1298.5799999999981</v>
      </c>
    </row>
    <row r="219" spans="1:11" x14ac:dyDescent="0.2">
      <c r="A219" s="2" t="s">
        <v>250</v>
      </c>
      <c r="B219" s="2" t="s">
        <v>244</v>
      </c>
      <c r="C219" s="3" t="s">
        <v>14</v>
      </c>
      <c r="D219" s="3" t="s">
        <v>28</v>
      </c>
      <c r="E219" s="2" t="s">
        <v>16</v>
      </c>
      <c r="F219" s="4">
        <v>29094.34</v>
      </c>
      <c r="G219" s="4">
        <v>18726.89</v>
      </c>
      <c r="H219" s="4">
        <v>20947.919999999998</v>
      </c>
      <c r="I219" s="5">
        <v>9.1</v>
      </c>
      <c r="J219" s="6">
        <v>94</v>
      </c>
      <c r="K219" s="7">
        <f t="shared" si="3"/>
        <v>-2221.0299999999988</v>
      </c>
    </row>
    <row r="220" spans="1:11" x14ac:dyDescent="0.2">
      <c r="A220" s="8" t="s">
        <v>251</v>
      </c>
      <c r="B220" s="8" t="s">
        <v>244</v>
      </c>
      <c r="C220" s="9" t="s">
        <v>18</v>
      </c>
      <c r="D220" s="9" t="s">
        <v>28</v>
      </c>
      <c r="E220" s="8" t="s">
        <v>16</v>
      </c>
      <c r="F220" s="10">
        <v>29731.65</v>
      </c>
      <c r="G220" s="10">
        <v>17986.87</v>
      </c>
      <c r="H220" s="10">
        <v>20217.52</v>
      </c>
      <c r="I220" s="11">
        <v>11.5</v>
      </c>
      <c r="J220" s="12">
        <v>106</v>
      </c>
      <c r="K220" s="13">
        <f t="shared" si="3"/>
        <v>-2230.6500000000015</v>
      </c>
    </row>
    <row r="221" spans="1:11" x14ac:dyDescent="0.2">
      <c r="A221" s="2" t="s">
        <v>252</v>
      </c>
      <c r="B221" s="2" t="s">
        <v>244</v>
      </c>
      <c r="C221" s="3" t="s">
        <v>20</v>
      </c>
      <c r="D221" s="3" t="s">
        <v>28</v>
      </c>
      <c r="E221" s="2" t="s">
        <v>16</v>
      </c>
      <c r="F221" s="4">
        <v>29887.9</v>
      </c>
      <c r="G221" s="4">
        <v>18323.2</v>
      </c>
      <c r="H221" s="4">
        <v>19427.14</v>
      </c>
      <c r="I221" s="5">
        <v>8.4</v>
      </c>
      <c r="J221" s="6">
        <v>101</v>
      </c>
      <c r="K221" s="7">
        <f t="shared" si="3"/>
        <v>-1103.9399999999987</v>
      </c>
    </row>
    <row r="222" spans="1:11" x14ac:dyDescent="0.2">
      <c r="A222" s="8" t="s">
        <v>253</v>
      </c>
      <c r="B222" s="8" t="s">
        <v>244</v>
      </c>
      <c r="C222" s="9" t="s">
        <v>22</v>
      </c>
      <c r="D222" s="9" t="s">
        <v>28</v>
      </c>
      <c r="E222" s="8" t="s">
        <v>16</v>
      </c>
      <c r="F222" s="10">
        <v>30341.31</v>
      </c>
      <c r="G222" s="10">
        <v>21542.13</v>
      </c>
      <c r="H222" s="10">
        <v>23666.22</v>
      </c>
      <c r="I222" s="11">
        <v>6.3</v>
      </c>
      <c r="J222" s="12">
        <v>96</v>
      </c>
      <c r="K222" s="13">
        <f t="shared" si="3"/>
        <v>-2124.09</v>
      </c>
    </row>
    <row r="223" spans="1:11" x14ac:dyDescent="0.2">
      <c r="A223" s="2" t="s">
        <v>254</v>
      </c>
      <c r="B223" s="2" t="s">
        <v>244</v>
      </c>
      <c r="C223" s="3" t="s">
        <v>24</v>
      </c>
      <c r="D223" s="3" t="s">
        <v>28</v>
      </c>
      <c r="E223" s="2" t="s">
        <v>16</v>
      </c>
      <c r="F223" s="4">
        <v>30425.45</v>
      </c>
      <c r="G223" s="4">
        <v>13890.72</v>
      </c>
      <c r="H223" s="4">
        <v>16734</v>
      </c>
      <c r="I223" s="5">
        <v>13.6</v>
      </c>
      <c r="J223" s="6">
        <v>106</v>
      </c>
      <c r="K223" s="7">
        <f t="shared" si="3"/>
        <v>-2843.2800000000007</v>
      </c>
    </row>
    <row r="224" spans="1:11" x14ac:dyDescent="0.2">
      <c r="A224" s="8" t="s">
        <v>255</v>
      </c>
      <c r="B224" s="8" t="s">
        <v>244</v>
      </c>
      <c r="C224" s="9" t="s">
        <v>26</v>
      </c>
      <c r="D224" s="9" t="s">
        <v>28</v>
      </c>
      <c r="E224" s="8" t="s">
        <v>16</v>
      </c>
      <c r="F224" s="10">
        <v>34567.74</v>
      </c>
      <c r="G224" s="10">
        <v>21581.9</v>
      </c>
      <c r="H224" s="10">
        <v>24197.42</v>
      </c>
      <c r="I224" s="11">
        <v>8.3000000000000007</v>
      </c>
      <c r="J224" s="12">
        <v>96</v>
      </c>
      <c r="K224" s="13">
        <f t="shared" si="3"/>
        <v>-2615.5199999999968</v>
      </c>
    </row>
    <row r="225" spans="1:11" x14ac:dyDescent="0.2">
      <c r="A225" s="2" t="s">
        <v>256</v>
      </c>
      <c r="B225" s="2" t="s">
        <v>244</v>
      </c>
      <c r="C225" s="3" t="s">
        <v>14</v>
      </c>
      <c r="D225" s="3" t="s">
        <v>35</v>
      </c>
      <c r="E225" s="2" t="s">
        <v>36</v>
      </c>
      <c r="F225" s="4">
        <v>17444.04</v>
      </c>
      <c r="G225" s="4">
        <v>11619.87</v>
      </c>
      <c r="H225" s="4">
        <v>12559.71</v>
      </c>
      <c r="I225" s="5">
        <v>8.5</v>
      </c>
      <c r="J225" s="6">
        <v>60</v>
      </c>
      <c r="K225" s="7">
        <f t="shared" si="3"/>
        <v>-939.83999999999833</v>
      </c>
    </row>
    <row r="226" spans="1:11" x14ac:dyDescent="0.2">
      <c r="A226" s="8" t="s">
        <v>257</v>
      </c>
      <c r="B226" s="8" t="s">
        <v>244</v>
      </c>
      <c r="C226" s="9" t="s">
        <v>18</v>
      </c>
      <c r="D226" s="9" t="s">
        <v>35</v>
      </c>
      <c r="E226" s="8" t="s">
        <v>36</v>
      </c>
      <c r="F226" s="10">
        <v>17100.349999999999</v>
      </c>
      <c r="G226" s="10">
        <v>9941.23</v>
      </c>
      <c r="H226" s="10">
        <v>11628.24</v>
      </c>
      <c r="I226" s="11">
        <v>12.4</v>
      </c>
      <c r="J226" s="12">
        <v>59</v>
      </c>
      <c r="K226" s="13">
        <f t="shared" si="3"/>
        <v>-1687.0100000000002</v>
      </c>
    </row>
    <row r="227" spans="1:11" x14ac:dyDescent="0.2">
      <c r="A227" s="2" t="s">
        <v>258</v>
      </c>
      <c r="B227" s="2" t="s">
        <v>244</v>
      </c>
      <c r="C227" s="3" t="s">
        <v>20</v>
      </c>
      <c r="D227" s="3" t="s">
        <v>35</v>
      </c>
      <c r="E227" s="2" t="s">
        <v>36</v>
      </c>
      <c r="F227" s="4">
        <v>17939.55</v>
      </c>
      <c r="G227" s="4">
        <v>10684.03</v>
      </c>
      <c r="H227" s="4">
        <v>11660.71</v>
      </c>
      <c r="I227" s="5">
        <v>8.9</v>
      </c>
      <c r="J227" s="6">
        <v>63</v>
      </c>
      <c r="K227" s="7">
        <f t="shared" si="3"/>
        <v>-976.67999999999847</v>
      </c>
    </row>
    <row r="228" spans="1:11" x14ac:dyDescent="0.2">
      <c r="A228" s="8" t="s">
        <v>259</v>
      </c>
      <c r="B228" s="8" t="s">
        <v>244</v>
      </c>
      <c r="C228" s="9" t="s">
        <v>22</v>
      </c>
      <c r="D228" s="9" t="s">
        <v>35</v>
      </c>
      <c r="E228" s="8" t="s">
        <v>36</v>
      </c>
      <c r="F228" s="10">
        <v>19773.689999999999</v>
      </c>
      <c r="G228" s="10">
        <v>15292.61</v>
      </c>
      <c r="H228" s="10">
        <v>15423.48</v>
      </c>
      <c r="I228" s="11">
        <v>4.5</v>
      </c>
      <c r="J228" s="12">
        <v>64</v>
      </c>
      <c r="K228" s="13">
        <f t="shared" si="3"/>
        <v>-130.86999999999898</v>
      </c>
    </row>
    <row r="229" spans="1:11" x14ac:dyDescent="0.2">
      <c r="A229" s="2" t="s">
        <v>260</v>
      </c>
      <c r="B229" s="2" t="s">
        <v>244</v>
      </c>
      <c r="C229" s="3" t="s">
        <v>24</v>
      </c>
      <c r="D229" s="3" t="s">
        <v>35</v>
      </c>
      <c r="E229" s="2" t="s">
        <v>36</v>
      </c>
      <c r="F229" s="4">
        <v>17188.13</v>
      </c>
      <c r="G229" s="4">
        <v>8202.86</v>
      </c>
      <c r="H229" s="4">
        <v>9453.4699999999993</v>
      </c>
      <c r="I229" s="5">
        <v>14.5</v>
      </c>
      <c r="J229" s="6">
        <v>66</v>
      </c>
      <c r="K229" s="7">
        <f t="shared" si="3"/>
        <v>-1250.6099999999988</v>
      </c>
    </row>
    <row r="230" spans="1:11" x14ac:dyDescent="0.2">
      <c r="A230" s="8" t="s">
        <v>261</v>
      </c>
      <c r="B230" s="8" t="s">
        <v>244</v>
      </c>
      <c r="C230" s="9" t="s">
        <v>26</v>
      </c>
      <c r="D230" s="9" t="s">
        <v>35</v>
      </c>
      <c r="E230" s="8" t="s">
        <v>36</v>
      </c>
      <c r="F230" s="10">
        <v>16376.56</v>
      </c>
      <c r="G230" s="10">
        <v>10532.28</v>
      </c>
      <c r="H230" s="10">
        <v>11463.59</v>
      </c>
      <c r="I230" s="11">
        <v>8.1</v>
      </c>
      <c r="J230" s="12">
        <v>69</v>
      </c>
      <c r="K230" s="13">
        <f t="shared" si="3"/>
        <v>-931.30999999999949</v>
      </c>
    </row>
    <row r="231" spans="1:11" x14ac:dyDescent="0.2">
      <c r="A231" s="2" t="s">
        <v>262</v>
      </c>
      <c r="B231" s="2" t="s">
        <v>244</v>
      </c>
      <c r="C231" s="3" t="s">
        <v>14</v>
      </c>
      <c r="D231" s="3" t="s">
        <v>43</v>
      </c>
      <c r="E231" s="2" t="s">
        <v>16</v>
      </c>
      <c r="F231" s="4">
        <v>13401.34</v>
      </c>
      <c r="G231" s="4">
        <v>8846.0300000000007</v>
      </c>
      <c r="H231" s="4">
        <v>9648.9599999999991</v>
      </c>
      <c r="I231" s="5">
        <v>9.1</v>
      </c>
      <c r="J231" s="6">
        <v>178</v>
      </c>
      <c r="K231" s="7">
        <f t="shared" si="3"/>
        <v>-802.92999999999847</v>
      </c>
    </row>
    <row r="232" spans="1:11" x14ac:dyDescent="0.2">
      <c r="A232" s="8" t="s">
        <v>263</v>
      </c>
      <c r="B232" s="8" t="s">
        <v>244</v>
      </c>
      <c r="C232" s="9" t="s">
        <v>18</v>
      </c>
      <c r="D232" s="9" t="s">
        <v>43</v>
      </c>
      <c r="E232" s="8" t="s">
        <v>16</v>
      </c>
      <c r="F232" s="10">
        <v>14382.53</v>
      </c>
      <c r="G232" s="10">
        <v>8748.74</v>
      </c>
      <c r="H232" s="10">
        <v>9780.1200000000008</v>
      </c>
      <c r="I232" s="11">
        <v>11.8</v>
      </c>
      <c r="J232" s="12">
        <v>199</v>
      </c>
      <c r="K232" s="13">
        <f t="shared" si="3"/>
        <v>-1031.380000000001</v>
      </c>
    </row>
    <row r="233" spans="1:11" x14ac:dyDescent="0.2">
      <c r="A233" s="2" t="s">
        <v>264</v>
      </c>
      <c r="B233" s="2" t="s">
        <v>244</v>
      </c>
      <c r="C233" s="3" t="s">
        <v>20</v>
      </c>
      <c r="D233" s="3" t="s">
        <v>43</v>
      </c>
      <c r="E233" s="2" t="s">
        <v>16</v>
      </c>
      <c r="F233" s="4">
        <v>14445.71</v>
      </c>
      <c r="G233" s="4">
        <v>8471.0400000000009</v>
      </c>
      <c r="H233" s="4">
        <v>9389.7099999999991</v>
      </c>
      <c r="I233" s="5">
        <v>10.7</v>
      </c>
      <c r="J233" s="6">
        <v>209</v>
      </c>
      <c r="K233" s="7">
        <f t="shared" si="3"/>
        <v>-918.66999999999825</v>
      </c>
    </row>
    <row r="234" spans="1:11" x14ac:dyDescent="0.2">
      <c r="A234" s="8" t="s">
        <v>265</v>
      </c>
      <c r="B234" s="8" t="s">
        <v>244</v>
      </c>
      <c r="C234" s="9" t="s">
        <v>22</v>
      </c>
      <c r="D234" s="9" t="s">
        <v>43</v>
      </c>
      <c r="E234" s="8" t="s">
        <v>16</v>
      </c>
      <c r="F234" s="10">
        <v>14409.75</v>
      </c>
      <c r="G234" s="10">
        <v>10683</v>
      </c>
      <c r="H234" s="10">
        <v>11239.6</v>
      </c>
      <c r="I234" s="11">
        <v>4.5</v>
      </c>
      <c r="J234" s="12">
        <v>191</v>
      </c>
      <c r="K234" s="13">
        <f t="shared" si="3"/>
        <v>-556.60000000000036</v>
      </c>
    </row>
    <row r="235" spans="1:11" x14ac:dyDescent="0.2">
      <c r="A235" s="2" t="s">
        <v>266</v>
      </c>
      <c r="B235" s="2" t="s">
        <v>244</v>
      </c>
      <c r="C235" s="3" t="s">
        <v>24</v>
      </c>
      <c r="D235" s="3" t="s">
        <v>43</v>
      </c>
      <c r="E235" s="2" t="s">
        <v>16</v>
      </c>
      <c r="F235" s="4">
        <v>14650.61</v>
      </c>
      <c r="G235" s="4">
        <v>6887.49</v>
      </c>
      <c r="H235" s="4">
        <v>8057.84</v>
      </c>
      <c r="I235" s="5">
        <v>13.1</v>
      </c>
      <c r="J235" s="6">
        <v>200</v>
      </c>
      <c r="K235" s="7">
        <f t="shared" si="3"/>
        <v>-1170.3500000000004</v>
      </c>
    </row>
    <row r="236" spans="1:11" x14ac:dyDescent="0.2">
      <c r="A236" s="8" t="s">
        <v>267</v>
      </c>
      <c r="B236" s="8" t="s">
        <v>244</v>
      </c>
      <c r="C236" s="9" t="s">
        <v>26</v>
      </c>
      <c r="D236" s="9" t="s">
        <v>43</v>
      </c>
      <c r="E236" s="8" t="s">
        <v>16</v>
      </c>
      <c r="F236" s="10">
        <v>13091.79</v>
      </c>
      <c r="G236" s="10">
        <v>8577.2000000000007</v>
      </c>
      <c r="H236" s="10">
        <v>9164.25</v>
      </c>
      <c r="I236" s="11">
        <v>6.7</v>
      </c>
      <c r="J236" s="12">
        <v>213</v>
      </c>
      <c r="K236" s="13">
        <f t="shared" si="3"/>
        <v>-587.04999999999927</v>
      </c>
    </row>
    <row r="237" spans="1:11" x14ac:dyDescent="0.2">
      <c r="A237" s="2" t="s">
        <v>268</v>
      </c>
      <c r="B237" s="2" t="s">
        <v>244</v>
      </c>
      <c r="C237" s="3" t="s">
        <v>14</v>
      </c>
      <c r="D237" s="3" t="s">
        <v>50</v>
      </c>
      <c r="E237" s="2" t="s">
        <v>51</v>
      </c>
      <c r="F237" s="4">
        <v>6540.11</v>
      </c>
      <c r="G237" s="4">
        <v>4379.04</v>
      </c>
      <c r="H237" s="4">
        <v>4708.88</v>
      </c>
      <c r="I237" s="5">
        <v>9.4</v>
      </c>
      <c r="J237" s="6">
        <v>381</v>
      </c>
      <c r="K237" s="7">
        <f t="shared" si="3"/>
        <v>-329.84000000000015</v>
      </c>
    </row>
    <row r="238" spans="1:11" x14ac:dyDescent="0.2">
      <c r="A238" s="8" t="s">
        <v>269</v>
      </c>
      <c r="B238" s="8" t="s">
        <v>244</v>
      </c>
      <c r="C238" s="9" t="s">
        <v>18</v>
      </c>
      <c r="D238" s="9" t="s">
        <v>50</v>
      </c>
      <c r="E238" s="8" t="s">
        <v>51</v>
      </c>
      <c r="F238" s="10">
        <v>6922.1</v>
      </c>
      <c r="G238" s="10">
        <v>4277.51</v>
      </c>
      <c r="H238" s="10">
        <v>4707.03</v>
      </c>
      <c r="I238" s="11">
        <v>11.3</v>
      </c>
      <c r="J238" s="12">
        <v>442</v>
      </c>
      <c r="K238" s="13">
        <f t="shared" si="3"/>
        <v>-429.51999999999953</v>
      </c>
    </row>
    <row r="239" spans="1:11" x14ac:dyDescent="0.2">
      <c r="A239" s="2" t="s">
        <v>270</v>
      </c>
      <c r="B239" s="2" t="s">
        <v>244</v>
      </c>
      <c r="C239" s="3" t="s">
        <v>20</v>
      </c>
      <c r="D239" s="3" t="s">
        <v>50</v>
      </c>
      <c r="E239" s="2" t="s">
        <v>51</v>
      </c>
      <c r="F239" s="4">
        <v>6290.33</v>
      </c>
      <c r="G239" s="4">
        <v>3879.71</v>
      </c>
      <c r="H239" s="4">
        <v>4088.71</v>
      </c>
      <c r="I239" s="5">
        <v>8.5</v>
      </c>
      <c r="J239" s="6">
        <v>367</v>
      </c>
      <c r="K239" s="7">
        <f t="shared" si="3"/>
        <v>-209</v>
      </c>
    </row>
    <row r="240" spans="1:11" x14ac:dyDescent="0.2">
      <c r="A240" s="8" t="s">
        <v>271</v>
      </c>
      <c r="B240" s="8" t="s">
        <v>244</v>
      </c>
      <c r="C240" s="9" t="s">
        <v>22</v>
      </c>
      <c r="D240" s="9" t="s">
        <v>50</v>
      </c>
      <c r="E240" s="8" t="s">
        <v>51</v>
      </c>
      <c r="F240" s="10">
        <v>7106.45</v>
      </c>
      <c r="G240" s="10">
        <v>5292.62</v>
      </c>
      <c r="H240" s="10">
        <v>5543.03</v>
      </c>
      <c r="I240" s="11">
        <v>6.2</v>
      </c>
      <c r="J240" s="12">
        <v>471</v>
      </c>
      <c r="K240" s="13">
        <f t="shared" si="3"/>
        <v>-250.40999999999985</v>
      </c>
    </row>
    <row r="241" spans="1:11" x14ac:dyDescent="0.2">
      <c r="A241" s="2" t="s">
        <v>272</v>
      </c>
      <c r="B241" s="2" t="s">
        <v>244</v>
      </c>
      <c r="C241" s="3" t="s">
        <v>24</v>
      </c>
      <c r="D241" s="3" t="s">
        <v>50</v>
      </c>
      <c r="E241" s="2" t="s">
        <v>51</v>
      </c>
      <c r="F241" s="4">
        <v>7107.45</v>
      </c>
      <c r="G241" s="4">
        <v>3279.32</v>
      </c>
      <c r="H241" s="4">
        <v>3909.1</v>
      </c>
      <c r="I241" s="5">
        <v>15.2</v>
      </c>
      <c r="J241" s="6">
        <v>447</v>
      </c>
      <c r="K241" s="7">
        <f t="shared" si="3"/>
        <v>-629.77999999999975</v>
      </c>
    </row>
    <row r="242" spans="1:11" x14ac:dyDescent="0.2">
      <c r="A242" s="8" t="s">
        <v>273</v>
      </c>
      <c r="B242" s="8" t="s">
        <v>244</v>
      </c>
      <c r="C242" s="9" t="s">
        <v>26</v>
      </c>
      <c r="D242" s="9" t="s">
        <v>50</v>
      </c>
      <c r="E242" s="8" t="s">
        <v>51</v>
      </c>
      <c r="F242" s="10">
        <v>5868.09</v>
      </c>
      <c r="G242" s="10">
        <v>3769.47</v>
      </c>
      <c r="H242" s="10">
        <v>4107.66</v>
      </c>
      <c r="I242" s="11">
        <v>7.9</v>
      </c>
      <c r="J242" s="12">
        <v>433</v>
      </c>
      <c r="K242" s="13">
        <f t="shared" si="3"/>
        <v>-338.19000000000005</v>
      </c>
    </row>
    <row r="243" spans="1:11" x14ac:dyDescent="0.2">
      <c r="A243" s="2" t="s">
        <v>274</v>
      </c>
      <c r="B243" s="2" t="s">
        <v>244</v>
      </c>
      <c r="C243" s="3" t="s">
        <v>14</v>
      </c>
      <c r="D243" s="3" t="s">
        <v>58</v>
      </c>
      <c r="E243" s="2" t="s">
        <v>51</v>
      </c>
      <c r="F243" s="4">
        <v>4344.7700000000004</v>
      </c>
      <c r="G243" s="4">
        <v>2936.16</v>
      </c>
      <c r="H243" s="4">
        <v>3128.23</v>
      </c>
      <c r="I243" s="5">
        <v>8.5</v>
      </c>
      <c r="J243" s="6">
        <v>609</v>
      </c>
      <c r="K243" s="7">
        <f t="shared" si="3"/>
        <v>-192.07000000000016</v>
      </c>
    </row>
    <row r="244" spans="1:11" x14ac:dyDescent="0.2">
      <c r="A244" s="8" t="s">
        <v>275</v>
      </c>
      <c r="B244" s="8" t="s">
        <v>244</v>
      </c>
      <c r="C244" s="9" t="s">
        <v>18</v>
      </c>
      <c r="D244" s="9" t="s">
        <v>58</v>
      </c>
      <c r="E244" s="8" t="s">
        <v>51</v>
      </c>
      <c r="F244" s="10">
        <v>3871.01</v>
      </c>
      <c r="G244" s="10">
        <v>2263.85</v>
      </c>
      <c r="H244" s="10">
        <v>2632.29</v>
      </c>
      <c r="I244" s="11">
        <v>10.6</v>
      </c>
      <c r="J244" s="12">
        <v>600</v>
      </c>
      <c r="K244" s="13">
        <f t="shared" si="3"/>
        <v>-368.44000000000005</v>
      </c>
    </row>
    <row r="245" spans="1:11" x14ac:dyDescent="0.2">
      <c r="A245" s="2" t="s">
        <v>276</v>
      </c>
      <c r="B245" s="2" t="s">
        <v>244</v>
      </c>
      <c r="C245" s="3" t="s">
        <v>20</v>
      </c>
      <c r="D245" s="3" t="s">
        <v>58</v>
      </c>
      <c r="E245" s="2" t="s">
        <v>51</v>
      </c>
      <c r="F245" s="4">
        <v>4251.58</v>
      </c>
      <c r="G245" s="4">
        <v>2407.42</v>
      </c>
      <c r="H245" s="4">
        <v>2763.53</v>
      </c>
      <c r="I245" s="5">
        <v>10.9</v>
      </c>
      <c r="J245" s="6">
        <v>467</v>
      </c>
      <c r="K245" s="7">
        <f t="shared" si="3"/>
        <v>-356.11000000000013</v>
      </c>
    </row>
    <row r="246" spans="1:11" x14ac:dyDescent="0.2">
      <c r="A246" s="8" t="s">
        <v>277</v>
      </c>
      <c r="B246" s="8" t="s">
        <v>244</v>
      </c>
      <c r="C246" s="9" t="s">
        <v>22</v>
      </c>
      <c r="D246" s="9" t="s">
        <v>58</v>
      </c>
      <c r="E246" s="8" t="s">
        <v>51</v>
      </c>
      <c r="F246" s="10">
        <v>4472.04</v>
      </c>
      <c r="G246" s="10">
        <v>3216.71</v>
      </c>
      <c r="H246" s="10">
        <v>3488.19</v>
      </c>
      <c r="I246" s="11">
        <v>6.3</v>
      </c>
      <c r="J246" s="12">
        <v>523</v>
      </c>
      <c r="K246" s="13">
        <f t="shared" si="3"/>
        <v>-271.48</v>
      </c>
    </row>
    <row r="247" spans="1:11" x14ac:dyDescent="0.2">
      <c r="A247" s="2" t="s">
        <v>278</v>
      </c>
      <c r="B247" s="2" t="s">
        <v>244</v>
      </c>
      <c r="C247" s="3" t="s">
        <v>24</v>
      </c>
      <c r="D247" s="3" t="s">
        <v>58</v>
      </c>
      <c r="E247" s="2" t="s">
        <v>51</v>
      </c>
      <c r="F247" s="4">
        <v>3897.41</v>
      </c>
      <c r="G247" s="4">
        <v>1780.87</v>
      </c>
      <c r="H247" s="4">
        <v>2143.58</v>
      </c>
      <c r="I247" s="5">
        <v>15.6</v>
      </c>
      <c r="J247" s="6">
        <v>536</v>
      </c>
      <c r="K247" s="7">
        <f t="shared" si="3"/>
        <v>-362.71000000000004</v>
      </c>
    </row>
    <row r="248" spans="1:11" x14ac:dyDescent="0.2">
      <c r="A248" s="8" t="s">
        <v>279</v>
      </c>
      <c r="B248" s="8" t="s">
        <v>244</v>
      </c>
      <c r="C248" s="9" t="s">
        <v>26</v>
      </c>
      <c r="D248" s="9" t="s">
        <v>58</v>
      </c>
      <c r="E248" s="8" t="s">
        <v>51</v>
      </c>
      <c r="F248" s="10">
        <v>3861.64</v>
      </c>
      <c r="G248" s="10">
        <v>2388.17</v>
      </c>
      <c r="H248" s="10">
        <v>2703.15</v>
      </c>
      <c r="I248" s="11">
        <v>9</v>
      </c>
      <c r="J248" s="12">
        <v>530</v>
      </c>
      <c r="K248" s="13">
        <f t="shared" si="3"/>
        <v>-314.98</v>
      </c>
    </row>
    <row r="249" spans="1:11" x14ac:dyDescent="0.2">
      <c r="A249" s="2" t="s">
        <v>280</v>
      </c>
      <c r="B249" s="2" t="s">
        <v>244</v>
      </c>
      <c r="C249" s="3" t="s">
        <v>14</v>
      </c>
      <c r="D249" s="3" t="s">
        <v>65</v>
      </c>
      <c r="E249" s="2" t="s">
        <v>36</v>
      </c>
      <c r="F249" s="4">
        <v>22750.14</v>
      </c>
      <c r="G249" s="4">
        <v>15454.67</v>
      </c>
      <c r="H249" s="4">
        <v>16380.1</v>
      </c>
      <c r="I249" s="5">
        <v>8.9</v>
      </c>
      <c r="J249" s="6">
        <v>72</v>
      </c>
      <c r="K249" s="7">
        <f t="shared" si="3"/>
        <v>-925.43000000000029</v>
      </c>
    </row>
    <row r="250" spans="1:11" x14ac:dyDescent="0.2">
      <c r="A250" s="8" t="s">
        <v>281</v>
      </c>
      <c r="B250" s="8" t="s">
        <v>244</v>
      </c>
      <c r="C250" s="9" t="s">
        <v>18</v>
      </c>
      <c r="D250" s="9" t="s">
        <v>65</v>
      </c>
      <c r="E250" s="8" t="s">
        <v>36</v>
      </c>
      <c r="F250" s="10">
        <v>23065.98</v>
      </c>
      <c r="G250" s="10">
        <v>13957.95</v>
      </c>
      <c r="H250" s="10">
        <v>15684.87</v>
      </c>
      <c r="I250" s="11">
        <v>10.4</v>
      </c>
      <c r="J250" s="12">
        <v>65</v>
      </c>
      <c r="K250" s="13">
        <f t="shared" si="3"/>
        <v>-1726.92</v>
      </c>
    </row>
    <row r="251" spans="1:11" x14ac:dyDescent="0.2">
      <c r="A251" s="2" t="s">
        <v>282</v>
      </c>
      <c r="B251" s="2" t="s">
        <v>244</v>
      </c>
      <c r="C251" s="3" t="s">
        <v>20</v>
      </c>
      <c r="D251" s="3" t="s">
        <v>65</v>
      </c>
      <c r="E251" s="2" t="s">
        <v>36</v>
      </c>
      <c r="F251" s="4">
        <v>21953.13</v>
      </c>
      <c r="G251" s="4">
        <v>13395.18</v>
      </c>
      <c r="H251" s="4">
        <v>14269.53</v>
      </c>
      <c r="I251" s="5">
        <v>9.4</v>
      </c>
      <c r="J251" s="6">
        <v>63</v>
      </c>
      <c r="K251" s="7">
        <f t="shared" si="3"/>
        <v>-874.35000000000036</v>
      </c>
    </row>
    <row r="252" spans="1:11" x14ac:dyDescent="0.2">
      <c r="A252" s="8" t="s">
        <v>283</v>
      </c>
      <c r="B252" s="8" t="s">
        <v>244</v>
      </c>
      <c r="C252" s="9" t="s">
        <v>22</v>
      </c>
      <c r="D252" s="9" t="s">
        <v>65</v>
      </c>
      <c r="E252" s="8" t="s">
        <v>36</v>
      </c>
      <c r="F252" s="10">
        <v>21430.33</v>
      </c>
      <c r="G252" s="10">
        <v>16469.580000000002</v>
      </c>
      <c r="H252" s="10">
        <v>16715.66</v>
      </c>
      <c r="I252" s="11">
        <v>4.9000000000000004</v>
      </c>
      <c r="J252" s="12">
        <v>81</v>
      </c>
      <c r="K252" s="13">
        <f t="shared" si="3"/>
        <v>-246.07999999999811</v>
      </c>
    </row>
    <row r="253" spans="1:11" x14ac:dyDescent="0.2">
      <c r="A253" s="2" t="s">
        <v>284</v>
      </c>
      <c r="B253" s="2" t="s">
        <v>244</v>
      </c>
      <c r="C253" s="3" t="s">
        <v>24</v>
      </c>
      <c r="D253" s="3" t="s">
        <v>65</v>
      </c>
      <c r="E253" s="2" t="s">
        <v>36</v>
      </c>
      <c r="F253" s="4">
        <v>20237.16</v>
      </c>
      <c r="G253" s="4">
        <v>9505.7000000000007</v>
      </c>
      <c r="H253" s="4">
        <v>11130.44</v>
      </c>
      <c r="I253" s="5">
        <v>14.9</v>
      </c>
      <c r="J253" s="6">
        <v>84</v>
      </c>
      <c r="K253" s="7">
        <f t="shared" si="3"/>
        <v>-1624.7399999999998</v>
      </c>
    </row>
    <row r="254" spans="1:11" x14ac:dyDescent="0.2">
      <c r="A254" s="8" t="s">
        <v>285</v>
      </c>
      <c r="B254" s="8" t="s">
        <v>244</v>
      </c>
      <c r="C254" s="9" t="s">
        <v>26</v>
      </c>
      <c r="D254" s="9" t="s">
        <v>65</v>
      </c>
      <c r="E254" s="8" t="s">
        <v>36</v>
      </c>
      <c r="F254" s="10">
        <v>21378.16</v>
      </c>
      <c r="G254" s="10">
        <v>13498.85</v>
      </c>
      <c r="H254" s="10">
        <v>14964.71</v>
      </c>
      <c r="I254" s="11">
        <v>7.5</v>
      </c>
      <c r="J254" s="12">
        <v>65</v>
      </c>
      <c r="K254" s="13">
        <f t="shared" si="3"/>
        <v>-1465.8599999999988</v>
      </c>
    </row>
    <row r="255" spans="1:11" x14ac:dyDescent="0.2">
      <c r="A255" s="2" t="s">
        <v>286</v>
      </c>
      <c r="B255" s="2" t="s">
        <v>287</v>
      </c>
      <c r="C255" s="3" t="s">
        <v>14</v>
      </c>
      <c r="D255" s="3" t="s">
        <v>15</v>
      </c>
      <c r="E255" s="2" t="s">
        <v>16</v>
      </c>
      <c r="F255" s="4">
        <v>29948.99</v>
      </c>
      <c r="G255" s="4">
        <v>20074.689999999999</v>
      </c>
      <c r="H255" s="4">
        <v>21563.27</v>
      </c>
      <c r="I255" s="5">
        <v>8.1</v>
      </c>
      <c r="J255" s="6">
        <v>151</v>
      </c>
      <c r="K255" s="7">
        <f t="shared" si="3"/>
        <v>-1488.5800000000017</v>
      </c>
    </row>
    <row r="256" spans="1:11" x14ac:dyDescent="0.2">
      <c r="A256" s="8" t="s">
        <v>288</v>
      </c>
      <c r="B256" s="8" t="s">
        <v>287</v>
      </c>
      <c r="C256" s="9" t="s">
        <v>18</v>
      </c>
      <c r="D256" s="9" t="s">
        <v>15</v>
      </c>
      <c r="E256" s="8" t="s">
        <v>16</v>
      </c>
      <c r="F256" s="10">
        <v>28544.02</v>
      </c>
      <c r="G256" s="10">
        <v>17869.740000000002</v>
      </c>
      <c r="H256" s="10">
        <v>19409.93</v>
      </c>
      <c r="I256" s="11">
        <v>10</v>
      </c>
      <c r="J256" s="12">
        <v>133</v>
      </c>
      <c r="K256" s="13">
        <f t="shared" si="3"/>
        <v>-1540.1899999999987</v>
      </c>
    </row>
    <row r="257" spans="1:11" x14ac:dyDescent="0.2">
      <c r="A257" s="2" t="s">
        <v>289</v>
      </c>
      <c r="B257" s="2" t="s">
        <v>287</v>
      </c>
      <c r="C257" s="3" t="s">
        <v>20</v>
      </c>
      <c r="D257" s="3" t="s">
        <v>15</v>
      </c>
      <c r="E257" s="2" t="s">
        <v>16</v>
      </c>
      <c r="F257" s="4">
        <v>25905.17</v>
      </c>
      <c r="G257" s="4">
        <v>14647.78</v>
      </c>
      <c r="H257" s="4">
        <v>16838.36</v>
      </c>
      <c r="I257" s="5">
        <v>9.9</v>
      </c>
      <c r="J257" s="6">
        <v>156</v>
      </c>
      <c r="K257" s="7">
        <f t="shared" si="3"/>
        <v>-2190.58</v>
      </c>
    </row>
    <row r="258" spans="1:11" x14ac:dyDescent="0.2">
      <c r="A258" s="8" t="s">
        <v>290</v>
      </c>
      <c r="B258" s="8" t="s">
        <v>287</v>
      </c>
      <c r="C258" s="9" t="s">
        <v>22</v>
      </c>
      <c r="D258" s="9" t="s">
        <v>15</v>
      </c>
      <c r="E258" s="8" t="s">
        <v>16</v>
      </c>
      <c r="F258" s="10">
        <v>26360.080000000002</v>
      </c>
      <c r="G258" s="10">
        <v>20279.86</v>
      </c>
      <c r="H258" s="10">
        <v>20560.86</v>
      </c>
      <c r="I258" s="11">
        <v>4.2</v>
      </c>
      <c r="J258" s="12">
        <v>137</v>
      </c>
      <c r="K258" s="13">
        <f t="shared" si="3"/>
        <v>-281</v>
      </c>
    </row>
    <row r="259" spans="1:11" x14ac:dyDescent="0.2">
      <c r="A259" s="2" t="s">
        <v>291</v>
      </c>
      <c r="B259" s="2" t="s">
        <v>287</v>
      </c>
      <c r="C259" s="3" t="s">
        <v>24</v>
      </c>
      <c r="D259" s="3" t="s">
        <v>15</v>
      </c>
      <c r="E259" s="2" t="s">
        <v>16</v>
      </c>
      <c r="F259" s="4">
        <v>26026.3</v>
      </c>
      <c r="G259" s="4">
        <v>11614.64</v>
      </c>
      <c r="H259" s="4">
        <v>14314.47</v>
      </c>
      <c r="I259" s="5">
        <v>15.5</v>
      </c>
      <c r="J259" s="6">
        <v>160</v>
      </c>
      <c r="K259" s="7">
        <f t="shared" ref="K259:K322" si="4">G259-H259</f>
        <v>-2699.83</v>
      </c>
    </row>
    <row r="260" spans="1:11" x14ac:dyDescent="0.2">
      <c r="A260" s="8" t="s">
        <v>292</v>
      </c>
      <c r="B260" s="8" t="s">
        <v>287</v>
      </c>
      <c r="C260" s="9" t="s">
        <v>26</v>
      </c>
      <c r="D260" s="9" t="s">
        <v>15</v>
      </c>
      <c r="E260" s="8" t="s">
        <v>16</v>
      </c>
      <c r="F260" s="10">
        <v>26010.25</v>
      </c>
      <c r="G260" s="10">
        <v>16648.43</v>
      </c>
      <c r="H260" s="10">
        <v>18207.169999999998</v>
      </c>
      <c r="I260" s="11">
        <v>6.7</v>
      </c>
      <c r="J260" s="12">
        <v>130</v>
      </c>
      <c r="K260" s="13">
        <f t="shared" si="4"/>
        <v>-1558.739999999998</v>
      </c>
    </row>
    <row r="261" spans="1:11" x14ac:dyDescent="0.2">
      <c r="A261" s="2" t="s">
        <v>293</v>
      </c>
      <c r="B261" s="2" t="s">
        <v>287</v>
      </c>
      <c r="C261" s="3" t="s">
        <v>14</v>
      </c>
      <c r="D261" s="3" t="s">
        <v>28</v>
      </c>
      <c r="E261" s="2" t="s">
        <v>16</v>
      </c>
      <c r="F261" s="4">
        <v>33030.769999999997</v>
      </c>
      <c r="G261" s="4">
        <v>21304.720000000001</v>
      </c>
      <c r="H261" s="4">
        <v>23782.15</v>
      </c>
      <c r="I261" s="5">
        <v>6.8</v>
      </c>
      <c r="J261" s="6">
        <v>106</v>
      </c>
      <c r="K261" s="7">
        <f t="shared" si="4"/>
        <v>-2477.4300000000003</v>
      </c>
    </row>
    <row r="262" spans="1:11" x14ac:dyDescent="0.2">
      <c r="A262" s="8" t="s">
        <v>294</v>
      </c>
      <c r="B262" s="8" t="s">
        <v>287</v>
      </c>
      <c r="C262" s="9" t="s">
        <v>18</v>
      </c>
      <c r="D262" s="9" t="s">
        <v>28</v>
      </c>
      <c r="E262" s="8" t="s">
        <v>16</v>
      </c>
      <c r="F262" s="10">
        <v>30322.76</v>
      </c>
      <c r="G262" s="10">
        <v>17893.18</v>
      </c>
      <c r="H262" s="10">
        <v>20619.48</v>
      </c>
      <c r="I262" s="11">
        <v>10.9</v>
      </c>
      <c r="J262" s="12">
        <v>84</v>
      </c>
      <c r="K262" s="13">
        <f t="shared" si="4"/>
        <v>-2726.2999999999993</v>
      </c>
    </row>
    <row r="263" spans="1:11" x14ac:dyDescent="0.2">
      <c r="A263" s="2" t="s">
        <v>295</v>
      </c>
      <c r="B263" s="2" t="s">
        <v>287</v>
      </c>
      <c r="C263" s="3" t="s">
        <v>20</v>
      </c>
      <c r="D263" s="3" t="s">
        <v>28</v>
      </c>
      <c r="E263" s="2" t="s">
        <v>16</v>
      </c>
      <c r="F263" s="4">
        <v>33547</v>
      </c>
      <c r="G263" s="4">
        <v>20055.16</v>
      </c>
      <c r="H263" s="4">
        <v>21805.55</v>
      </c>
      <c r="I263" s="5">
        <v>9.8000000000000007</v>
      </c>
      <c r="J263" s="6">
        <v>97</v>
      </c>
      <c r="K263" s="7">
        <f t="shared" si="4"/>
        <v>-1750.3899999999994</v>
      </c>
    </row>
    <row r="264" spans="1:11" x14ac:dyDescent="0.2">
      <c r="A264" s="8" t="s">
        <v>296</v>
      </c>
      <c r="B264" s="8" t="s">
        <v>287</v>
      </c>
      <c r="C264" s="9" t="s">
        <v>22</v>
      </c>
      <c r="D264" s="9" t="s">
        <v>28</v>
      </c>
      <c r="E264" s="8" t="s">
        <v>16</v>
      </c>
      <c r="F264" s="10">
        <v>33779.31</v>
      </c>
      <c r="G264" s="10">
        <v>24222.1</v>
      </c>
      <c r="H264" s="10">
        <v>26347.86</v>
      </c>
      <c r="I264" s="11">
        <v>5.0999999999999996</v>
      </c>
      <c r="J264" s="12">
        <v>98</v>
      </c>
      <c r="K264" s="13">
        <f t="shared" si="4"/>
        <v>-2125.760000000002</v>
      </c>
    </row>
    <row r="265" spans="1:11" x14ac:dyDescent="0.2">
      <c r="A265" s="2" t="s">
        <v>297</v>
      </c>
      <c r="B265" s="2" t="s">
        <v>287</v>
      </c>
      <c r="C265" s="3" t="s">
        <v>24</v>
      </c>
      <c r="D265" s="3" t="s">
        <v>28</v>
      </c>
      <c r="E265" s="2" t="s">
        <v>16</v>
      </c>
      <c r="F265" s="4">
        <v>34850.660000000003</v>
      </c>
      <c r="G265" s="4">
        <v>17073.490000000002</v>
      </c>
      <c r="H265" s="4">
        <v>19167.86</v>
      </c>
      <c r="I265" s="5">
        <v>12.9</v>
      </c>
      <c r="J265" s="6">
        <v>108</v>
      </c>
      <c r="K265" s="7">
        <f t="shared" si="4"/>
        <v>-2094.369999999999</v>
      </c>
    </row>
    <row r="266" spans="1:11" x14ac:dyDescent="0.2">
      <c r="A266" s="8" t="s">
        <v>298</v>
      </c>
      <c r="B266" s="8" t="s">
        <v>287</v>
      </c>
      <c r="C266" s="9" t="s">
        <v>26</v>
      </c>
      <c r="D266" s="9" t="s">
        <v>28</v>
      </c>
      <c r="E266" s="8" t="s">
        <v>16</v>
      </c>
      <c r="F266" s="10">
        <v>32137.29</v>
      </c>
      <c r="G266" s="10">
        <v>21534.7</v>
      </c>
      <c r="H266" s="10">
        <v>22496.1</v>
      </c>
      <c r="I266" s="11">
        <v>7.7</v>
      </c>
      <c r="J266" s="12">
        <v>85</v>
      </c>
      <c r="K266" s="13">
        <f t="shared" si="4"/>
        <v>-961.39999999999782</v>
      </c>
    </row>
    <row r="267" spans="1:11" x14ac:dyDescent="0.2">
      <c r="A267" s="2" t="s">
        <v>299</v>
      </c>
      <c r="B267" s="2" t="s">
        <v>287</v>
      </c>
      <c r="C267" s="3" t="s">
        <v>14</v>
      </c>
      <c r="D267" s="3" t="s">
        <v>35</v>
      </c>
      <c r="E267" s="2" t="s">
        <v>36</v>
      </c>
      <c r="F267" s="4">
        <v>17924.330000000002</v>
      </c>
      <c r="G267" s="4">
        <v>12062.94</v>
      </c>
      <c r="H267" s="4">
        <v>12905.52</v>
      </c>
      <c r="I267" s="5">
        <v>7.9</v>
      </c>
      <c r="J267" s="6">
        <v>61</v>
      </c>
      <c r="K267" s="7">
        <f t="shared" si="4"/>
        <v>-842.57999999999993</v>
      </c>
    </row>
    <row r="268" spans="1:11" x14ac:dyDescent="0.2">
      <c r="A268" s="8" t="s">
        <v>300</v>
      </c>
      <c r="B268" s="8" t="s">
        <v>287</v>
      </c>
      <c r="C268" s="9" t="s">
        <v>18</v>
      </c>
      <c r="D268" s="9" t="s">
        <v>35</v>
      </c>
      <c r="E268" s="8" t="s">
        <v>36</v>
      </c>
      <c r="F268" s="10">
        <v>19474.919999999998</v>
      </c>
      <c r="G268" s="10">
        <v>11506.14</v>
      </c>
      <c r="H268" s="10">
        <v>13242.95</v>
      </c>
      <c r="I268" s="11">
        <v>10.1</v>
      </c>
      <c r="J268" s="12">
        <v>64</v>
      </c>
      <c r="K268" s="13">
        <f t="shared" si="4"/>
        <v>-1736.8100000000013</v>
      </c>
    </row>
    <row r="269" spans="1:11" x14ac:dyDescent="0.2">
      <c r="A269" s="2" t="s">
        <v>301</v>
      </c>
      <c r="B269" s="2" t="s">
        <v>287</v>
      </c>
      <c r="C269" s="3" t="s">
        <v>20</v>
      </c>
      <c r="D269" s="3" t="s">
        <v>35</v>
      </c>
      <c r="E269" s="2" t="s">
        <v>36</v>
      </c>
      <c r="F269" s="4">
        <v>16436.46</v>
      </c>
      <c r="G269" s="4">
        <v>9825.67</v>
      </c>
      <c r="H269" s="4">
        <v>10683.7</v>
      </c>
      <c r="I269" s="5">
        <v>9</v>
      </c>
      <c r="J269" s="6">
        <v>62</v>
      </c>
      <c r="K269" s="7">
        <f t="shared" si="4"/>
        <v>-858.03000000000065</v>
      </c>
    </row>
    <row r="270" spans="1:11" x14ac:dyDescent="0.2">
      <c r="A270" s="8" t="s">
        <v>302</v>
      </c>
      <c r="B270" s="8" t="s">
        <v>287</v>
      </c>
      <c r="C270" s="9" t="s">
        <v>22</v>
      </c>
      <c r="D270" s="9" t="s">
        <v>35</v>
      </c>
      <c r="E270" s="8" t="s">
        <v>36</v>
      </c>
      <c r="F270" s="10">
        <v>17370.669999999998</v>
      </c>
      <c r="G270" s="10">
        <v>12685.81</v>
      </c>
      <c r="H270" s="10">
        <v>13549.12</v>
      </c>
      <c r="I270" s="11">
        <v>6.6</v>
      </c>
      <c r="J270" s="12">
        <v>61</v>
      </c>
      <c r="K270" s="13">
        <f t="shared" si="4"/>
        <v>-863.31000000000131</v>
      </c>
    </row>
    <row r="271" spans="1:11" x14ac:dyDescent="0.2">
      <c r="A271" s="2" t="s">
        <v>303</v>
      </c>
      <c r="B271" s="2" t="s">
        <v>287</v>
      </c>
      <c r="C271" s="3" t="s">
        <v>24</v>
      </c>
      <c r="D271" s="3" t="s">
        <v>35</v>
      </c>
      <c r="E271" s="2" t="s">
        <v>36</v>
      </c>
      <c r="F271" s="4">
        <v>18379.54</v>
      </c>
      <c r="G271" s="4">
        <v>8926.31</v>
      </c>
      <c r="H271" s="4">
        <v>10108.75</v>
      </c>
      <c r="I271" s="5">
        <v>13.1</v>
      </c>
      <c r="J271" s="6">
        <v>68</v>
      </c>
      <c r="K271" s="7">
        <f t="shared" si="4"/>
        <v>-1182.4400000000005</v>
      </c>
    </row>
    <row r="272" spans="1:11" x14ac:dyDescent="0.2">
      <c r="A272" s="8" t="s">
        <v>304</v>
      </c>
      <c r="B272" s="8" t="s">
        <v>287</v>
      </c>
      <c r="C272" s="9" t="s">
        <v>26</v>
      </c>
      <c r="D272" s="9" t="s">
        <v>35</v>
      </c>
      <c r="E272" s="8" t="s">
        <v>36</v>
      </c>
      <c r="F272" s="10">
        <v>18543.3</v>
      </c>
      <c r="G272" s="10">
        <v>12073.61</v>
      </c>
      <c r="H272" s="10">
        <v>12980.31</v>
      </c>
      <c r="I272" s="11">
        <v>8.6</v>
      </c>
      <c r="J272" s="12">
        <v>56</v>
      </c>
      <c r="K272" s="13">
        <f t="shared" si="4"/>
        <v>-906.69999999999891</v>
      </c>
    </row>
    <row r="273" spans="1:11" x14ac:dyDescent="0.2">
      <c r="A273" s="2" t="s">
        <v>305</v>
      </c>
      <c r="B273" s="2" t="s">
        <v>287</v>
      </c>
      <c r="C273" s="3" t="s">
        <v>14</v>
      </c>
      <c r="D273" s="3" t="s">
        <v>43</v>
      </c>
      <c r="E273" s="2" t="s">
        <v>16</v>
      </c>
      <c r="F273" s="4">
        <v>13864.35</v>
      </c>
      <c r="G273" s="4">
        <v>9124.5300000000007</v>
      </c>
      <c r="H273" s="4">
        <v>9982.33</v>
      </c>
      <c r="I273" s="5">
        <v>7.4</v>
      </c>
      <c r="J273" s="6">
        <v>184</v>
      </c>
      <c r="K273" s="7">
        <f t="shared" si="4"/>
        <v>-857.79999999999927</v>
      </c>
    </row>
    <row r="274" spans="1:11" x14ac:dyDescent="0.2">
      <c r="A274" s="8" t="s">
        <v>306</v>
      </c>
      <c r="B274" s="8" t="s">
        <v>287</v>
      </c>
      <c r="C274" s="9" t="s">
        <v>18</v>
      </c>
      <c r="D274" s="9" t="s">
        <v>43</v>
      </c>
      <c r="E274" s="8" t="s">
        <v>16</v>
      </c>
      <c r="F274" s="10">
        <v>13764.77</v>
      </c>
      <c r="G274" s="10">
        <v>8356.07</v>
      </c>
      <c r="H274" s="10">
        <v>9360.0400000000009</v>
      </c>
      <c r="I274" s="11">
        <v>10.199999999999999</v>
      </c>
      <c r="J274" s="12">
        <v>196</v>
      </c>
      <c r="K274" s="13">
        <f t="shared" si="4"/>
        <v>-1003.9700000000012</v>
      </c>
    </row>
    <row r="275" spans="1:11" x14ac:dyDescent="0.2">
      <c r="A275" s="2" t="s">
        <v>307</v>
      </c>
      <c r="B275" s="2" t="s">
        <v>287</v>
      </c>
      <c r="C275" s="3" t="s">
        <v>20</v>
      </c>
      <c r="D275" s="3" t="s">
        <v>43</v>
      </c>
      <c r="E275" s="2" t="s">
        <v>16</v>
      </c>
      <c r="F275" s="4">
        <v>13648.04</v>
      </c>
      <c r="G275" s="4">
        <v>8373.51</v>
      </c>
      <c r="H275" s="4">
        <v>8871.23</v>
      </c>
      <c r="I275" s="5">
        <v>8.6999999999999993</v>
      </c>
      <c r="J275" s="6">
        <v>162</v>
      </c>
      <c r="K275" s="7">
        <f t="shared" si="4"/>
        <v>-497.71999999999935</v>
      </c>
    </row>
    <row r="276" spans="1:11" x14ac:dyDescent="0.2">
      <c r="A276" s="8" t="s">
        <v>308</v>
      </c>
      <c r="B276" s="8" t="s">
        <v>287</v>
      </c>
      <c r="C276" s="9" t="s">
        <v>22</v>
      </c>
      <c r="D276" s="9" t="s">
        <v>43</v>
      </c>
      <c r="E276" s="8" t="s">
        <v>16</v>
      </c>
      <c r="F276" s="10">
        <v>14928.96</v>
      </c>
      <c r="G276" s="10">
        <v>10829.28</v>
      </c>
      <c r="H276" s="10">
        <v>11644.59</v>
      </c>
      <c r="I276" s="11">
        <v>3.9</v>
      </c>
      <c r="J276" s="12">
        <v>200</v>
      </c>
      <c r="K276" s="13">
        <f t="shared" si="4"/>
        <v>-815.30999999999949</v>
      </c>
    </row>
    <row r="277" spans="1:11" x14ac:dyDescent="0.2">
      <c r="A277" s="2" t="s">
        <v>309</v>
      </c>
      <c r="B277" s="2" t="s">
        <v>287</v>
      </c>
      <c r="C277" s="3" t="s">
        <v>24</v>
      </c>
      <c r="D277" s="3" t="s">
        <v>43</v>
      </c>
      <c r="E277" s="2" t="s">
        <v>16</v>
      </c>
      <c r="F277" s="4">
        <v>14872.95</v>
      </c>
      <c r="G277" s="4">
        <v>7042.38</v>
      </c>
      <c r="H277" s="4">
        <v>8180.12</v>
      </c>
      <c r="I277" s="5">
        <v>14.5</v>
      </c>
      <c r="J277" s="6">
        <v>190</v>
      </c>
      <c r="K277" s="7">
        <f t="shared" si="4"/>
        <v>-1137.7399999999998</v>
      </c>
    </row>
    <row r="278" spans="1:11" x14ac:dyDescent="0.2">
      <c r="A278" s="8" t="s">
        <v>310</v>
      </c>
      <c r="B278" s="8" t="s">
        <v>287</v>
      </c>
      <c r="C278" s="9" t="s">
        <v>26</v>
      </c>
      <c r="D278" s="9" t="s">
        <v>43</v>
      </c>
      <c r="E278" s="8" t="s">
        <v>16</v>
      </c>
      <c r="F278" s="10">
        <v>13523.01</v>
      </c>
      <c r="G278" s="10">
        <v>8728.44</v>
      </c>
      <c r="H278" s="10">
        <v>9466.11</v>
      </c>
      <c r="I278" s="11">
        <v>6.7</v>
      </c>
      <c r="J278" s="12">
        <v>196</v>
      </c>
      <c r="K278" s="13">
        <f t="shared" si="4"/>
        <v>-737.67000000000007</v>
      </c>
    </row>
    <row r="279" spans="1:11" x14ac:dyDescent="0.2">
      <c r="A279" s="2" t="s">
        <v>311</v>
      </c>
      <c r="B279" s="2" t="s">
        <v>287</v>
      </c>
      <c r="C279" s="3" t="s">
        <v>14</v>
      </c>
      <c r="D279" s="3" t="s">
        <v>50</v>
      </c>
      <c r="E279" s="2" t="s">
        <v>51</v>
      </c>
      <c r="F279" s="4">
        <v>6825.37</v>
      </c>
      <c r="G279" s="4">
        <v>4536.07</v>
      </c>
      <c r="H279" s="4">
        <v>4914.2700000000004</v>
      </c>
      <c r="I279" s="5">
        <v>9.3000000000000007</v>
      </c>
      <c r="J279" s="6">
        <v>469</v>
      </c>
      <c r="K279" s="7">
        <f t="shared" si="4"/>
        <v>-378.20000000000073</v>
      </c>
    </row>
    <row r="280" spans="1:11" x14ac:dyDescent="0.2">
      <c r="A280" s="8" t="s">
        <v>312</v>
      </c>
      <c r="B280" s="8" t="s">
        <v>287</v>
      </c>
      <c r="C280" s="9" t="s">
        <v>18</v>
      </c>
      <c r="D280" s="9" t="s">
        <v>50</v>
      </c>
      <c r="E280" s="8" t="s">
        <v>51</v>
      </c>
      <c r="F280" s="10">
        <v>6630.53</v>
      </c>
      <c r="G280" s="10">
        <v>4037.81</v>
      </c>
      <c r="H280" s="10">
        <v>4508.76</v>
      </c>
      <c r="I280" s="11">
        <v>11</v>
      </c>
      <c r="J280" s="12">
        <v>376</v>
      </c>
      <c r="K280" s="13">
        <f t="shared" si="4"/>
        <v>-470.95000000000027</v>
      </c>
    </row>
    <row r="281" spans="1:11" x14ac:dyDescent="0.2">
      <c r="A281" s="2" t="s">
        <v>313</v>
      </c>
      <c r="B281" s="2" t="s">
        <v>287</v>
      </c>
      <c r="C281" s="3" t="s">
        <v>20</v>
      </c>
      <c r="D281" s="3" t="s">
        <v>50</v>
      </c>
      <c r="E281" s="2" t="s">
        <v>51</v>
      </c>
      <c r="F281" s="4">
        <v>6703.76</v>
      </c>
      <c r="G281" s="4">
        <v>3845.21</v>
      </c>
      <c r="H281" s="4">
        <v>4357.4399999999996</v>
      </c>
      <c r="I281" s="5">
        <v>8.9</v>
      </c>
      <c r="J281" s="6">
        <v>454</v>
      </c>
      <c r="K281" s="7">
        <f t="shared" si="4"/>
        <v>-512.22999999999956</v>
      </c>
    </row>
    <row r="282" spans="1:11" x14ac:dyDescent="0.2">
      <c r="A282" s="8" t="s">
        <v>314</v>
      </c>
      <c r="B282" s="8" t="s">
        <v>287</v>
      </c>
      <c r="C282" s="9" t="s">
        <v>22</v>
      </c>
      <c r="D282" s="9" t="s">
        <v>50</v>
      </c>
      <c r="E282" s="8" t="s">
        <v>51</v>
      </c>
      <c r="F282" s="10">
        <v>6327.83</v>
      </c>
      <c r="G282" s="10">
        <v>4672.04</v>
      </c>
      <c r="H282" s="10">
        <v>4935.71</v>
      </c>
      <c r="I282" s="11">
        <v>5.9</v>
      </c>
      <c r="J282" s="12">
        <v>449</v>
      </c>
      <c r="K282" s="13">
        <f t="shared" si="4"/>
        <v>-263.67000000000007</v>
      </c>
    </row>
    <row r="283" spans="1:11" x14ac:dyDescent="0.2">
      <c r="A283" s="2" t="s">
        <v>315</v>
      </c>
      <c r="B283" s="2" t="s">
        <v>287</v>
      </c>
      <c r="C283" s="3" t="s">
        <v>24</v>
      </c>
      <c r="D283" s="3" t="s">
        <v>50</v>
      </c>
      <c r="E283" s="2" t="s">
        <v>51</v>
      </c>
      <c r="F283" s="4">
        <v>6948.7</v>
      </c>
      <c r="G283" s="4">
        <v>3303.84</v>
      </c>
      <c r="H283" s="4">
        <v>3821.79</v>
      </c>
      <c r="I283" s="5">
        <v>15.7</v>
      </c>
      <c r="J283" s="6">
        <v>426</v>
      </c>
      <c r="K283" s="7">
        <f t="shared" si="4"/>
        <v>-517.94999999999982</v>
      </c>
    </row>
    <row r="284" spans="1:11" x14ac:dyDescent="0.2">
      <c r="A284" s="8" t="s">
        <v>316</v>
      </c>
      <c r="B284" s="8" t="s">
        <v>287</v>
      </c>
      <c r="C284" s="9" t="s">
        <v>26</v>
      </c>
      <c r="D284" s="9" t="s">
        <v>50</v>
      </c>
      <c r="E284" s="8" t="s">
        <v>51</v>
      </c>
      <c r="F284" s="10">
        <v>6685.51</v>
      </c>
      <c r="G284" s="10">
        <v>4530.71</v>
      </c>
      <c r="H284" s="10">
        <v>4679.8599999999997</v>
      </c>
      <c r="I284" s="11">
        <v>6.4</v>
      </c>
      <c r="J284" s="12">
        <v>452</v>
      </c>
      <c r="K284" s="13">
        <f t="shared" si="4"/>
        <v>-149.14999999999964</v>
      </c>
    </row>
    <row r="285" spans="1:11" x14ac:dyDescent="0.2">
      <c r="A285" s="2" t="s">
        <v>317</v>
      </c>
      <c r="B285" s="2" t="s">
        <v>287</v>
      </c>
      <c r="C285" s="3" t="s">
        <v>14</v>
      </c>
      <c r="D285" s="3" t="s">
        <v>58</v>
      </c>
      <c r="E285" s="2" t="s">
        <v>51</v>
      </c>
      <c r="F285" s="4">
        <v>4004.66</v>
      </c>
      <c r="G285" s="4">
        <v>2719.15</v>
      </c>
      <c r="H285" s="4">
        <v>2883.36</v>
      </c>
      <c r="I285" s="5">
        <v>7.2</v>
      </c>
      <c r="J285" s="6">
        <v>507</v>
      </c>
      <c r="K285" s="7">
        <f t="shared" si="4"/>
        <v>-164.21000000000004</v>
      </c>
    </row>
    <row r="286" spans="1:11" x14ac:dyDescent="0.2">
      <c r="A286" s="8" t="s">
        <v>318</v>
      </c>
      <c r="B286" s="8" t="s">
        <v>287</v>
      </c>
      <c r="C286" s="9" t="s">
        <v>18</v>
      </c>
      <c r="D286" s="9" t="s">
        <v>58</v>
      </c>
      <c r="E286" s="8" t="s">
        <v>51</v>
      </c>
      <c r="F286" s="10">
        <v>4065.45</v>
      </c>
      <c r="G286" s="10">
        <v>2564.52</v>
      </c>
      <c r="H286" s="10">
        <v>2764.51</v>
      </c>
      <c r="I286" s="11">
        <v>9.9</v>
      </c>
      <c r="J286" s="12">
        <v>548</v>
      </c>
      <c r="K286" s="13">
        <f t="shared" si="4"/>
        <v>-199.99000000000024</v>
      </c>
    </row>
    <row r="287" spans="1:11" x14ac:dyDescent="0.2">
      <c r="A287" s="2" t="s">
        <v>319</v>
      </c>
      <c r="B287" s="2" t="s">
        <v>287</v>
      </c>
      <c r="C287" s="3" t="s">
        <v>20</v>
      </c>
      <c r="D287" s="3" t="s">
        <v>58</v>
      </c>
      <c r="E287" s="2" t="s">
        <v>51</v>
      </c>
      <c r="F287" s="4">
        <v>4116.66</v>
      </c>
      <c r="G287" s="4">
        <v>2471.7600000000002</v>
      </c>
      <c r="H287" s="4">
        <v>2675.83</v>
      </c>
      <c r="I287" s="5">
        <v>8.6</v>
      </c>
      <c r="J287" s="6">
        <v>462</v>
      </c>
      <c r="K287" s="7">
        <f t="shared" si="4"/>
        <v>-204.06999999999971</v>
      </c>
    </row>
    <row r="288" spans="1:11" x14ac:dyDescent="0.2">
      <c r="A288" s="8" t="s">
        <v>320</v>
      </c>
      <c r="B288" s="8" t="s">
        <v>287</v>
      </c>
      <c r="C288" s="9" t="s">
        <v>22</v>
      </c>
      <c r="D288" s="9" t="s">
        <v>58</v>
      </c>
      <c r="E288" s="8" t="s">
        <v>51</v>
      </c>
      <c r="F288" s="10">
        <v>4406.7299999999996</v>
      </c>
      <c r="G288" s="10">
        <v>3271.77</v>
      </c>
      <c r="H288" s="10">
        <v>3437.25</v>
      </c>
      <c r="I288" s="11">
        <v>4.2</v>
      </c>
      <c r="J288" s="12">
        <v>512</v>
      </c>
      <c r="K288" s="13">
        <f t="shared" si="4"/>
        <v>-165.48000000000002</v>
      </c>
    </row>
    <row r="289" spans="1:11" x14ac:dyDescent="0.2">
      <c r="A289" s="2" t="s">
        <v>321</v>
      </c>
      <c r="B289" s="2" t="s">
        <v>287</v>
      </c>
      <c r="C289" s="3" t="s">
        <v>24</v>
      </c>
      <c r="D289" s="3" t="s">
        <v>58</v>
      </c>
      <c r="E289" s="2" t="s">
        <v>51</v>
      </c>
      <c r="F289" s="4">
        <v>4090.84</v>
      </c>
      <c r="G289" s="4">
        <v>1954.82</v>
      </c>
      <c r="H289" s="4">
        <v>2249.96</v>
      </c>
      <c r="I289" s="5">
        <v>15</v>
      </c>
      <c r="J289" s="6">
        <v>548</v>
      </c>
      <c r="K289" s="7">
        <f t="shared" si="4"/>
        <v>-295.1400000000001</v>
      </c>
    </row>
    <row r="290" spans="1:11" x14ac:dyDescent="0.2">
      <c r="A290" s="8" t="s">
        <v>322</v>
      </c>
      <c r="B290" s="8" t="s">
        <v>287</v>
      </c>
      <c r="C290" s="9" t="s">
        <v>26</v>
      </c>
      <c r="D290" s="9" t="s">
        <v>58</v>
      </c>
      <c r="E290" s="8" t="s">
        <v>51</v>
      </c>
      <c r="F290" s="10">
        <v>3851.36</v>
      </c>
      <c r="G290" s="10">
        <v>2451.63</v>
      </c>
      <c r="H290" s="10">
        <v>2695.95</v>
      </c>
      <c r="I290" s="11">
        <v>6.5</v>
      </c>
      <c r="J290" s="12">
        <v>557</v>
      </c>
      <c r="K290" s="13">
        <f t="shared" si="4"/>
        <v>-244.31999999999971</v>
      </c>
    </row>
    <row r="291" spans="1:11" x14ac:dyDescent="0.2">
      <c r="A291" s="2" t="s">
        <v>323</v>
      </c>
      <c r="B291" s="2" t="s">
        <v>287</v>
      </c>
      <c r="C291" s="3" t="s">
        <v>14</v>
      </c>
      <c r="D291" s="3" t="s">
        <v>65</v>
      </c>
      <c r="E291" s="2" t="s">
        <v>36</v>
      </c>
      <c r="F291" s="4">
        <v>22765.46</v>
      </c>
      <c r="G291" s="4">
        <v>15358.22</v>
      </c>
      <c r="H291" s="4">
        <v>16391.13</v>
      </c>
      <c r="I291" s="5">
        <v>7.5</v>
      </c>
      <c r="J291" s="6">
        <v>73</v>
      </c>
      <c r="K291" s="7">
        <f t="shared" si="4"/>
        <v>-1032.9100000000017</v>
      </c>
    </row>
    <row r="292" spans="1:11" x14ac:dyDescent="0.2">
      <c r="A292" s="8" t="s">
        <v>324</v>
      </c>
      <c r="B292" s="8" t="s">
        <v>287</v>
      </c>
      <c r="C292" s="9" t="s">
        <v>18</v>
      </c>
      <c r="D292" s="9" t="s">
        <v>65</v>
      </c>
      <c r="E292" s="8" t="s">
        <v>36</v>
      </c>
      <c r="F292" s="10">
        <v>21744.99</v>
      </c>
      <c r="G292" s="10">
        <v>13473.74</v>
      </c>
      <c r="H292" s="10">
        <v>14786.59</v>
      </c>
      <c r="I292" s="11">
        <v>10.7</v>
      </c>
      <c r="J292" s="12">
        <v>65</v>
      </c>
      <c r="K292" s="13">
        <f t="shared" si="4"/>
        <v>-1312.8500000000004</v>
      </c>
    </row>
    <row r="293" spans="1:11" x14ac:dyDescent="0.2">
      <c r="A293" s="2" t="s">
        <v>325</v>
      </c>
      <c r="B293" s="2" t="s">
        <v>287</v>
      </c>
      <c r="C293" s="3" t="s">
        <v>20</v>
      </c>
      <c r="D293" s="3" t="s">
        <v>65</v>
      </c>
      <c r="E293" s="2" t="s">
        <v>36</v>
      </c>
      <c r="F293" s="4">
        <v>21691.62</v>
      </c>
      <c r="G293" s="4">
        <v>13013.8</v>
      </c>
      <c r="H293" s="4">
        <v>14099.55</v>
      </c>
      <c r="I293" s="5">
        <v>9</v>
      </c>
      <c r="J293" s="6">
        <v>73</v>
      </c>
      <c r="K293" s="7">
        <f t="shared" si="4"/>
        <v>-1085.75</v>
      </c>
    </row>
    <row r="294" spans="1:11" x14ac:dyDescent="0.2">
      <c r="A294" s="8" t="s">
        <v>326</v>
      </c>
      <c r="B294" s="8" t="s">
        <v>287</v>
      </c>
      <c r="C294" s="9" t="s">
        <v>22</v>
      </c>
      <c r="D294" s="9" t="s">
        <v>65</v>
      </c>
      <c r="E294" s="8" t="s">
        <v>36</v>
      </c>
      <c r="F294" s="10">
        <v>22735.38</v>
      </c>
      <c r="G294" s="10">
        <v>16934.37</v>
      </c>
      <c r="H294" s="10">
        <v>17733.599999999999</v>
      </c>
      <c r="I294" s="11">
        <v>3.7</v>
      </c>
      <c r="J294" s="12">
        <v>76</v>
      </c>
      <c r="K294" s="13">
        <f t="shared" si="4"/>
        <v>-799.22999999999956</v>
      </c>
    </row>
    <row r="295" spans="1:11" x14ac:dyDescent="0.2">
      <c r="A295" s="2" t="s">
        <v>327</v>
      </c>
      <c r="B295" s="2" t="s">
        <v>287</v>
      </c>
      <c r="C295" s="3" t="s">
        <v>24</v>
      </c>
      <c r="D295" s="3" t="s">
        <v>65</v>
      </c>
      <c r="E295" s="2" t="s">
        <v>36</v>
      </c>
      <c r="F295" s="4">
        <v>19833.82</v>
      </c>
      <c r="G295" s="4">
        <v>9196.64</v>
      </c>
      <c r="H295" s="4">
        <v>10908.6</v>
      </c>
      <c r="I295" s="5">
        <v>13.7</v>
      </c>
      <c r="J295" s="6">
        <v>65</v>
      </c>
      <c r="K295" s="7">
        <f t="shared" si="4"/>
        <v>-1711.9600000000009</v>
      </c>
    </row>
    <row r="296" spans="1:11" x14ac:dyDescent="0.2">
      <c r="A296" s="8" t="s">
        <v>328</v>
      </c>
      <c r="B296" s="8" t="s">
        <v>287</v>
      </c>
      <c r="C296" s="9" t="s">
        <v>26</v>
      </c>
      <c r="D296" s="9" t="s">
        <v>65</v>
      </c>
      <c r="E296" s="8" t="s">
        <v>36</v>
      </c>
      <c r="F296" s="10">
        <v>20924.29</v>
      </c>
      <c r="G296" s="10">
        <v>13043.05</v>
      </c>
      <c r="H296" s="10">
        <v>14647</v>
      </c>
      <c r="I296" s="11">
        <v>7.3</v>
      </c>
      <c r="J296" s="12">
        <v>79</v>
      </c>
      <c r="K296" s="13">
        <f t="shared" si="4"/>
        <v>-1603.9500000000007</v>
      </c>
    </row>
    <row r="297" spans="1:11" x14ac:dyDescent="0.2">
      <c r="A297" s="2" t="s">
        <v>329</v>
      </c>
      <c r="B297" s="2" t="s">
        <v>330</v>
      </c>
      <c r="C297" s="3" t="s">
        <v>14</v>
      </c>
      <c r="D297" s="3" t="s">
        <v>15</v>
      </c>
      <c r="E297" s="2" t="s">
        <v>16</v>
      </c>
      <c r="F297" s="4">
        <v>26183.89</v>
      </c>
      <c r="G297" s="4">
        <v>17665.13</v>
      </c>
      <c r="H297" s="4">
        <v>18852.400000000001</v>
      </c>
      <c r="I297" s="5">
        <v>7.8</v>
      </c>
      <c r="J297" s="6">
        <v>145</v>
      </c>
      <c r="K297" s="7">
        <f t="shared" si="4"/>
        <v>-1187.2700000000004</v>
      </c>
    </row>
    <row r="298" spans="1:11" x14ac:dyDescent="0.2">
      <c r="A298" s="8" t="s">
        <v>331</v>
      </c>
      <c r="B298" s="8" t="s">
        <v>330</v>
      </c>
      <c r="C298" s="9" t="s">
        <v>18</v>
      </c>
      <c r="D298" s="9" t="s">
        <v>15</v>
      </c>
      <c r="E298" s="8" t="s">
        <v>16</v>
      </c>
      <c r="F298" s="10">
        <v>29866.78</v>
      </c>
      <c r="G298" s="10">
        <v>17201.599999999999</v>
      </c>
      <c r="H298" s="10">
        <v>20309.41</v>
      </c>
      <c r="I298" s="11">
        <v>12.3</v>
      </c>
      <c r="J298" s="12">
        <v>160</v>
      </c>
      <c r="K298" s="13">
        <f t="shared" si="4"/>
        <v>-3107.8100000000013</v>
      </c>
    </row>
    <row r="299" spans="1:11" x14ac:dyDescent="0.2">
      <c r="A299" s="2" t="s">
        <v>332</v>
      </c>
      <c r="B299" s="2" t="s">
        <v>330</v>
      </c>
      <c r="C299" s="3" t="s">
        <v>20</v>
      </c>
      <c r="D299" s="3" t="s">
        <v>15</v>
      </c>
      <c r="E299" s="2" t="s">
        <v>16</v>
      </c>
      <c r="F299" s="4">
        <v>25436.89</v>
      </c>
      <c r="G299" s="4">
        <v>15672.5</v>
      </c>
      <c r="H299" s="4">
        <v>16533.98</v>
      </c>
      <c r="I299" s="5">
        <v>8.3000000000000007</v>
      </c>
      <c r="J299" s="6">
        <v>160</v>
      </c>
      <c r="K299" s="7">
        <f t="shared" si="4"/>
        <v>-861.47999999999956</v>
      </c>
    </row>
    <row r="300" spans="1:11" x14ac:dyDescent="0.2">
      <c r="A300" s="8" t="s">
        <v>333</v>
      </c>
      <c r="B300" s="8" t="s">
        <v>330</v>
      </c>
      <c r="C300" s="9" t="s">
        <v>22</v>
      </c>
      <c r="D300" s="9" t="s">
        <v>15</v>
      </c>
      <c r="E300" s="8" t="s">
        <v>16</v>
      </c>
      <c r="F300" s="10">
        <v>28424.25</v>
      </c>
      <c r="G300" s="10">
        <v>21347.75</v>
      </c>
      <c r="H300" s="10">
        <v>22170.92</v>
      </c>
      <c r="I300" s="11">
        <v>5.3</v>
      </c>
      <c r="J300" s="12">
        <v>141</v>
      </c>
      <c r="K300" s="13">
        <f t="shared" si="4"/>
        <v>-823.16999999999825</v>
      </c>
    </row>
    <row r="301" spans="1:11" x14ac:dyDescent="0.2">
      <c r="A301" s="2" t="s">
        <v>334</v>
      </c>
      <c r="B301" s="2" t="s">
        <v>330</v>
      </c>
      <c r="C301" s="3" t="s">
        <v>24</v>
      </c>
      <c r="D301" s="3" t="s">
        <v>15</v>
      </c>
      <c r="E301" s="2" t="s">
        <v>16</v>
      </c>
      <c r="F301" s="4">
        <v>25844.97</v>
      </c>
      <c r="G301" s="4">
        <v>12207.47</v>
      </c>
      <c r="H301" s="4">
        <v>14214.73</v>
      </c>
      <c r="I301" s="5">
        <v>12.9</v>
      </c>
      <c r="J301" s="6">
        <v>158</v>
      </c>
      <c r="K301" s="7">
        <f t="shared" si="4"/>
        <v>-2007.2600000000002</v>
      </c>
    </row>
    <row r="302" spans="1:11" x14ac:dyDescent="0.2">
      <c r="A302" s="8" t="s">
        <v>335</v>
      </c>
      <c r="B302" s="8" t="s">
        <v>330</v>
      </c>
      <c r="C302" s="9" t="s">
        <v>26</v>
      </c>
      <c r="D302" s="9" t="s">
        <v>15</v>
      </c>
      <c r="E302" s="8" t="s">
        <v>16</v>
      </c>
      <c r="F302" s="10">
        <v>28661.5</v>
      </c>
      <c r="G302" s="10">
        <v>18911.96</v>
      </c>
      <c r="H302" s="10">
        <v>20063.05</v>
      </c>
      <c r="I302" s="11">
        <v>8.8000000000000007</v>
      </c>
      <c r="J302" s="12">
        <v>127</v>
      </c>
      <c r="K302" s="13">
        <f t="shared" si="4"/>
        <v>-1151.0900000000001</v>
      </c>
    </row>
    <row r="303" spans="1:11" x14ac:dyDescent="0.2">
      <c r="A303" s="2" t="s">
        <v>336</v>
      </c>
      <c r="B303" s="2" t="s">
        <v>330</v>
      </c>
      <c r="C303" s="3" t="s">
        <v>14</v>
      </c>
      <c r="D303" s="3" t="s">
        <v>28</v>
      </c>
      <c r="E303" s="2" t="s">
        <v>16</v>
      </c>
      <c r="F303" s="4">
        <v>34204.699999999997</v>
      </c>
      <c r="G303" s="4">
        <v>22967.09</v>
      </c>
      <c r="H303" s="4">
        <v>24627.38</v>
      </c>
      <c r="I303" s="5">
        <v>7.4</v>
      </c>
      <c r="J303" s="6">
        <v>98</v>
      </c>
      <c r="K303" s="7">
        <f t="shared" si="4"/>
        <v>-1660.2900000000009</v>
      </c>
    </row>
    <row r="304" spans="1:11" x14ac:dyDescent="0.2">
      <c r="A304" s="8" t="s">
        <v>337</v>
      </c>
      <c r="B304" s="8" t="s">
        <v>330</v>
      </c>
      <c r="C304" s="9" t="s">
        <v>18</v>
      </c>
      <c r="D304" s="9" t="s">
        <v>28</v>
      </c>
      <c r="E304" s="8" t="s">
        <v>16</v>
      </c>
      <c r="F304" s="10">
        <v>31332.91</v>
      </c>
      <c r="G304" s="10">
        <v>18761.28</v>
      </c>
      <c r="H304" s="10">
        <v>21306.38</v>
      </c>
      <c r="I304" s="11">
        <v>10.8</v>
      </c>
      <c r="J304" s="12">
        <v>93</v>
      </c>
      <c r="K304" s="13">
        <f t="shared" si="4"/>
        <v>-2545.1000000000022</v>
      </c>
    </row>
    <row r="305" spans="1:11" x14ac:dyDescent="0.2">
      <c r="A305" s="2" t="s">
        <v>338</v>
      </c>
      <c r="B305" s="2" t="s">
        <v>330</v>
      </c>
      <c r="C305" s="3" t="s">
        <v>20</v>
      </c>
      <c r="D305" s="3" t="s">
        <v>28</v>
      </c>
      <c r="E305" s="2" t="s">
        <v>16</v>
      </c>
      <c r="F305" s="4">
        <v>29876.05</v>
      </c>
      <c r="G305" s="4">
        <v>16994.28</v>
      </c>
      <c r="H305" s="4">
        <v>19419.43</v>
      </c>
      <c r="I305" s="5">
        <v>9.6999999999999993</v>
      </c>
      <c r="J305" s="6">
        <v>98</v>
      </c>
      <c r="K305" s="7">
        <f t="shared" si="4"/>
        <v>-2425.1500000000015</v>
      </c>
    </row>
    <row r="306" spans="1:11" x14ac:dyDescent="0.2">
      <c r="A306" s="8" t="s">
        <v>339</v>
      </c>
      <c r="B306" s="8" t="s">
        <v>330</v>
      </c>
      <c r="C306" s="9" t="s">
        <v>22</v>
      </c>
      <c r="D306" s="9" t="s">
        <v>28</v>
      </c>
      <c r="E306" s="8" t="s">
        <v>16</v>
      </c>
      <c r="F306" s="10">
        <v>34597.910000000003</v>
      </c>
      <c r="G306" s="10">
        <v>26213.31</v>
      </c>
      <c r="H306" s="10">
        <v>26986.37</v>
      </c>
      <c r="I306" s="11">
        <v>4.5999999999999996</v>
      </c>
      <c r="J306" s="12">
        <v>107</v>
      </c>
      <c r="K306" s="13">
        <f t="shared" si="4"/>
        <v>-773.05999999999767</v>
      </c>
    </row>
    <row r="307" spans="1:11" x14ac:dyDescent="0.2">
      <c r="A307" s="2" t="s">
        <v>340</v>
      </c>
      <c r="B307" s="2" t="s">
        <v>330</v>
      </c>
      <c r="C307" s="3" t="s">
        <v>24</v>
      </c>
      <c r="D307" s="3" t="s">
        <v>28</v>
      </c>
      <c r="E307" s="2" t="s">
        <v>16</v>
      </c>
      <c r="F307" s="4">
        <v>34016.239999999998</v>
      </c>
      <c r="G307" s="4">
        <v>15725.49</v>
      </c>
      <c r="H307" s="4">
        <v>18708.93</v>
      </c>
      <c r="I307" s="5">
        <v>13.5</v>
      </c>
      <c r="J307" s="6">
        <v>89</v>
      </c>
      <c r="K307" s="7">
        <f t="shared" si="4"/>
        <v>-2983.4400000000005</v>
      </c>
    </row>
    <row r="308" spans="1:11" x14ac:dyDescent="0.2">
      <c r="A308" s="8" t="s">
        <v>341</v>
      </c>
      <c r="B308" s="8" t="s">
        <v>330</v>
      </c>
      <c r="C308" s="9" t="s">
        <v>26</v>
      </c>
      <c r="D308" s="9" t="s">
        <v>28</v>
      </c>
      <c r="E308" s="8" t="s">
        <v>16</v>
      </c>
      <c r="F308" s="10">
        <v>32655.35</v>
      </c>
      <c r="G308" s="10">
        <v>21152.81</v>
      </c>
      <c r="H308" s="10">
        <v>22858.74</v>
      </c>
      <c r="I308" s="11">
        <v>8.6</v>
      </c>
      <c r="J308" s="12">
        <v>88</v>
      </c>
      <c r="K308" s="13">
        <f t="shared" si="4"/>
        <v>-1705.9300000000003</v>
      </c>
    </row>
    <row r="309" spans="1:11" x14ac:dyDescent="0.2">
      <c r="A309" s="2" t="s">
        <v>342</v>
      </c>
      <c r="B309" s="2" t="s">
        <v>330</v>
      </c>
      <c r="C309" s="3" t="s">
        <v>14</v>
      </c>
      <c r="D309" s="3" t="s">
        <v>35</v>
      </c>
      <c r="E309" s="2" t="s">
        <v>36</v>
      </c>
      <c r="F309" s="4">
        <v>18982.25</v>
      </c>
      <c r="G309" s="4">
        <v>12801.9</v>
      </c>
      <c r="H309" s="4">
        <v>13667.22</v>
      </c>
      <c r="I309" s="5">
        <v>8.1999999999999993</v>
      </c>
      <c r="J309" s="6">
        <v>66</v>
      </c>
      <c r="K309" s="7">
        <f t="shared" si="4"/>
        <v>-865.31999999999971</v>
      </c>
    </row>
    <row r="310" spans="1:11" x14ac:dyDescent="0.2">
      <c r="A310" s="8" t="s">
        <v>343</v>
      </c>
      <c r="B310" s="8" t="s">
        <v>330</v>
      </c>
      <c r="C310" s="9" t="s">
        <v>18</v>
      </c>
      <c r="D310" s="9" t="s">
        <v>35</v>
      </c>
      <c r="E310" s="8" t="s">
        <v>36</v>
      </c>
      <c r="F310" s="10">
        <v>17816.060000000001</v>
      </c>
      <c r="G310" s="10">
        <v>10630.89</v>
      </c>
      <c r="H310" s="10">
        <v>12114.92</v>
      </c>
      <c r="I310" s="11">
        <v>12.7</v>
      </c>
      <c r="J310" s="12">
        <v>64</v>
      </c>
      <c r="K310" s="13">
        <f t="shared" si="4"/>
        <v>-1484.0300000000007</v>
      </c>
    </row>
    <row r="311" spans="1:11" x14ac:dyDescent="0.2">
      <c r="A311" s="2" t="s">
        <v>344</v>
      </c>
      <c r="B311" s="2" t="s">
        <v>330</v>
      </c>
      <c r="C311" s="3" t="s">
        <v>20</v>
      </c>
      <c r="D311" s="3" t="s">
        <v>35</v>
      </c>
      <c r="E311" s="2" t="s">
        <v>36</v>
      </c>
      <c r="F311" s="4">
        <v>18448.28</v>
      </c>
      <c r="G311" s="4">
        <v>10805.17</v>
      </c>
      <c r="H311" s="4">
        <v>11991.38</v>
      </c>
      <c r="I311" s="5">
        <v>10.8</v>
      </c>
      <c r="J311" s="6">
        <v>55</v>
      </c>
      <c r="K311" s="7">
        <f t="shared" si="4"/>
        <v>-1186.2099999999991</v>
      </c>
    </row>
    <row r="312" spans="1:11" x14ac:dyDescent="0.2">
      <c r="A312" s="8" t="s">
        <v>345</v>
      </c>
      <c r="B312" s="8" t="s">
        <v>330</v>
      </c>
      <c r="C312" s="9" t="s">
        <v>22</v>
      </c>
      <c r="D312" s="9" t="s">
        <v>35</v>
      </c>
      <c r="E312" s="8" t="s">
        <v>36</v>
      </c>
      <c r="F312" s="10">
        <v>16445.830000000002</v>
      </c>
      <c r="G312" s="10">
        <v>12006.76</v>
      </c>
      <c r="H312" s="10">
        <v>12827.75</v>
      </c>
      <c r="I312" s="11">
        <v>4.9000000000000004</v>
      </c>
      <c r="J312" s="12">
        <v>57</v>
      </c>
      <c r="K312" s="13">
        <f t="shared" si="4"/>
        <v>-820.98999999999978</v>
      </c>
    </row>
    <row r="313" spans="1:11" x14ac:dyDescent="0.2">
      <c r="A313" s="2" t="s">
        <v>346</v>
      </c>
      <c r="B313" s="2" t="s">
        <v>330</v>
      </c>
      <c r="C313" s="3" t="s">
        <v>24</v>
      </c>
      <c r="D313" s="3" t="s">
        <v>35</v>
      </c>
      <c r="E313" s="2" t="s">
        <v>36</v>
      </c>
      <c r="F313" s="4">
        <v>16402.22</v>
      </c>
      <c r="G313" s="4">
        <v>7613.92</v>
      </c>
      <c r="H313" s="4">
        <v>9021.2199999999993</v>
      </c>
      <c r="I313" s="5">
        <v>14.3</v>
      </c>
      <c r="J313" s="6">
        <v>61</v>
      </c>
      <c r="K313" s="7">
        <f t="shared" si="4"/>
        <v>-1407.2999999999993</v>
      </c>
    </row>
    <row r="314" spans="1:11" x14ac:dyDescent="0.2">
      <c r="A314" s="8" t="s">
        <v>347</v>
      </c>
      <c r="B314" s="8" t="s">
        <v>330</v>
      </c>
      <c r="C314" s="9" t="s">
        <v>26</v>
      </c>
      <c r="D314" s="9" t="s">
        <v>35</v>
      </c>
      <c r="E314" s="8" t="s">
        <v>36</v>
      </c>
      <c r="F314" s="10">
        <v>16404.8</v>
      </c>
      <c r="G314" s="10">
        <v>10118.200000000001</v>
      </c>
      <c r="H314" s="10">
        <v>11483.36</v>
      </c>
      <c r="I314" s="11">
        <v>8.8000000000000007</v>
      </c>
      <c r="J314" s="12">
        <v>68</v>
      </c>
      <c r="K314" s="13">
        <f t="shared" si="4"/>
        <v>-1365.1599999999999</v>
      </c>
    </row>
    <row r="315" spans="1:11" x14ac:dyDescent="0.2">
      <c r="A315" s="2" t="s">
        <v>348</v>
      </c>
      <c r="B315" s="2" t="s">
        <v>330</v>
      </c>
      <c r="C315" s="3" t="s">
        <v>14</v>
      </c>
      <c r="D315" s="3" t="s">
        <v>43</v>
      </c>
      <c r="E315" s="2" t="s">
        <v>16</v>
      </c>
      <c r="F315" s="4">
        <v>14994.82</v>
      </c>
      <c r="G315" s="4">
        <v>9884.17</v>
      </c>
      <c r="H315" s="4">
        <v>10796.27</v>
      </c>
      <c r="I315" s="5">
        <v>8.5</v>
      </c>
      <c r="J315" s="6">
        <v>184</v>
      </c>
      <c r="K315" s="7">
        <f t="shared" si="4"/>
        <v>-912.10000000000036</v>
      </c>
    </row>
    <row r="316" spans="1:11" x14ac:dyDescent="0.2">
      <c r="A316" s="8" t="s">
        <v>349</v>
      </c>
      <c r="B316" s="8" t="s">
        <v>330</v>
      </c>
      <c r="C316" s="9" t="s">
        <v>18</v>
      </c>
      <c r="D316" s="9" t="s">
        <v>43</v>
      </c>
      <c r="E316" s="8" t="s">
        <v>16</v>
      </c>
      <c r="F316" s="10">
        <v>14152.09</v>
      </c>
      <c r="G316" s="10">
        <v>8707.0300000000007</v>
      </c>
      <c r="H316" s="10">
        <v>9623.42</v>
      </c>
      <c r="I316" s="11">
        <v>12.3</v>
      </c>
      <c r="J316" s="12">
        <v>184</v>
      </c>
      <c r="K316" s="13">
        <f t="shared" si="4"/>
        <v>-916.38999999999942</v>
      </c>
    </row>
    <row r="317" spans="1:11" x14ac:dyDescent="0.2">
      <c r="A317" s="2" t="s">
        <v>350</v>
      </c>
      <c r="B317" s="2" t="s">
        <v>330</v>
      </c>
      <c r="C317" s="3" t="s">
        <v>20</v>
      </c>
      <c r="D317" s="3" t="s">
        <v>43</v>
      </c>
      <c r="E317" s="2" t="s">
        <v>16</v>
      </c>
      <c r="F317" s="4">
        <v>14867.48</v>
      </c>
      <c r="G317" s="4">
        <v>8554.24</v>
      </c>
      <c r="H317" s="4">
        <v>9663.86</v>
      </c>
      <c r="I317" s="5">
        <v>10.199999999999999</v>
      </c>
      <c r="J317" s="6">
        <v>185</v>
      </c>
      <c r="K317" s="7">
        <f t="shared" si="4"/>
        <v>-1109.6200000000008</v>
      </c>
    </row>
    <row r="318" spans="1:11" x14ac:dyDescent="0.2">
      <c r="A318" s="8" t="s">
        <v>351</v>
      </c>
      <c r="B318" s="8" t="s">
        <v>330</v>
      </c>
      <c r="C318" s="9" t="s">
        <v>22</v>
      </c>
      <c r="D318" s="9" t="s">
        <v>43</v>
      </c>
      <c r="E318" s="8" t="s">
        <v>16</v>
      </c>
      <c r="F318" s="10">
        <v>13022.41</v>
      </c>
      <c r="G318" s="10">
        <v>9461.5499999999993</v>
      </c>
      <c r="H318" s="10">
        <v>10157.48</v>
      </c>
      <c r="I318" s="11">
        <v>3.8</v>
      </c>
      <c r="J318" s="12">
        <v>209</v>
      </c>
      <c r="K318" s="13">
        <f t="shared" si="4"/>
        <v>-695.93000000000029</v>
      </c>
    </row>
    <row r="319" spans="1:11" x14ac:dyDescent="0.2">
      <c r="A319" s="2" t="s">
        <v>352</v>
      </c>
      <c r="B319" s="2" t="s">
        <v>330</v>
      </c>
      <c r="C319" s="3" t="s">
        <v>24</v>
      </c>
      <c r="D319" s="3" t="s">
        <v>43</v>
      </c>
      <c r="E319" s="2" t="s">
        <v>16</v>
      </c>
      <c r="F319" s="4">
        <v>13561.63</v>
      </c>
      <c r="G319" s="4">
        <v>6349.83</v>
      </c>
      <c r="H319" s="4">
        <v>7458.9</v>
      </c>
      <c r="I319" s="5">
        <v>14.9</v>
      </c>
      <c r="J319" s="6">
        <v>168</v>
      </c>
      <c r="K319" s="7">
        <f t="shared" si="4"/>
        <v>-1109.0699999999997</v>
      </c>
    </row>
    <row r="320" spans="1:11" x14ac:dyDescent="0.2">
      <c r="A320" s="8" t="s">
        <v>353</v>
      </c>
      <c r="B320" s="8" t="s">
        <v>330</v>
      </c>
      <c r="C320" s="9" t="s">
        <v>26</v>
      </c>
      <c r="D320" s="9" t="s">
        <v>43</v>
      </c>
      <c r="E320" s="8" t="s">
        <v>16</v>
      </c>
      <c r="F320" s="10">
        <v>13293.68</v>
      </c>
      <c r="G320" s="10">
        <v>8556.69</v>
      </c>
      <c r="H320" s="10">
        <v>9305.58</v>
      </c>
      <c r="I320" s="11">
        <v>7.6</v>
      </c>
      <c r="J320" s="12">
        <v>188</v>
      </c>
      <c r="K320" s="13">
        <f t="shared" si="4"/>
        <v>-748.88999999999942</v>
      </c>
    </row>
    <row r="321" spans="1:11" x14ac:dyDescent="0.2">
      <c r="A321" s="2" t="s">
        <v>354</v>
      </c>
      <c r="B321" s="2" t="s">
        <v>330</v>
      </c>
      <c r="C321" s="3" t="s">
        <v>14</v>
      </c>
      <c r="D321" s="3" t="s">
        <v>50</v>
      </c>
      <c r="E321" s="2" t="s">
        <v>51</v>
      </c>
      <c r="F321" s="4">
        <v>6056.37</v>
      </c>
      <c r="G321" s="4">
        <v>3950.63</v>
      </c>
      <c r="H321" s="4">
        <v>4360.59</v>
      </c>
      <c r="I321" s="5">
        <v>7.8</v>
      </c>
      <c r="J321" s="6">
        <v>400</v>
      </c>
      <c r="K321" s="7">
        <f t="shared" si="4"/>
        <v>-409.96000000000004</v>
      </c>
    </row>
    <row r="322" spans="1:11" x14ac:dyDescent="0.2">
      <c r="A322" s="8" t="s">
        <v>355</v>
      </c>
      <c r="B322" s="8" t="s">
        <v>330</v>
      </c>
      <c r="C322" s="9" t="s">
        <v>18</v>
      </c>
      <c r="D322" s="9" t="s">
        <v>50</v>
      </c>
      <c r="E322" s="8" t="s">
        <v>51</v>
      </c>
      <c r="F322" s="10">
        <v>6289.88</v>
      </c>
      <c r="G322" s="10">
        <v>3864.08</v>
      </c>
      <c r="H322" s="10">
        <v>4277.12</v>
      </c>
      <c r="I322" s="11">
        <v>11.7</v>
      </c>
      <c r="J322" s="12">
        <v>430</v>
      </c>
      <c r="K322" s="13">
        <f t="shared" si="4"/>
        <v>-413.03999999999996</v>
      </c>
    </row>
    <row r="323" spans="1:11" x14ac:dyDescent="0.2">
      <c r="A323" s="2" t="s">
        <v>356</v>
      </c>
      <c r="B323" s="2" t="s">
        <v>330</v>
      </c>
      <c r="C323" s="3" t="s">
        <v>20</v>
      </c>
      <c r="D323" s="3" t="s">
        <v>50</v>
      </c>
      <c r="E323" s="2" t="s">
        <v>51</v>
      </c>
      <c r="F323" s="4">
        <v>5935.69</v>
      </c>
      <c r="G323" s="4">
        <v>3580.63</v>
      </c>
      <c r="H323" s="4">
        <v>3858.2</v>
      </c>
      <c r="I323" s="5">
        <v>8.5</v>
      </c>
      <c r="J323" s="6">
        <v>385</v>
      </c>
      <c r="K323" s="7">
        <f t="shared" ref="K323:K338" si="5">G323-H323</f>
        <v>-277.56999999999971</v>
      </c>
    </row>
    <row r="324" spans="1:11" x14ac:dyDescent="0.2">
      <c r="A324" s="8" t="s">
        <v>357</v>
      </c>
      <c r="B324" s="8" t="s">
        <v>330</v>
      </c>
      <c r="C324" s="9" t="s">
        <v>22</v>
      </c>
      <c r="D324" s="9" t="s">
        <v>50</v>
      </c>
      <c r="E324" s="8" t="s">
        <v>51</v>
      </c>
      <c r="F324" s="10">
        <v>6790.85</v>
      </c>
      <c r="G324" s="10">
        <v>5162.78</v>
      </c>
      <c r="H324" s="10">
        <v>5296.86</v>
      </c>
      <c r="I324" s="11">
        <v>5.6</v>
      </c>
      <c r="J324" s="12">
        <v>458</v>
      </c>
      <c r="K324" s="13">
        <f t="shared" si="5"/>
        <v>-134.07999999999993</v>
      </c>
    </row>
    <row r="325" spans="1:11" x14ac:dyDescent="0.2">
      <c r="A325" s="2" t="s">
        <v>358</v>
      </c>
      <c r="B325" s="2" t="s">
        <v>330</v>
      </c>
      <c r="C325" s="3" t="s">
        <v>24</v>
      </c>
      <c r="D325" s="3" t="s">
        <v>50</v>
      </c>
      <c r="E325" s="2" t="s">
        <v>51</v>
      </c>
      <c r="F325" s="4">
        <v>6283.37</v>
      </c>
      <c r="G325" s="4">
        <v>2869.99</v>
      </c>
      <c r="H325" s="4">
        <v>3455.85</v>
      </c>
      <c r="I325" s="5">
        <v>14.5</v>
      </c>
      <c r="J325" s="6">
        <v>393</v>
      </c>
      <c r="K325" s="7">
        <f t="shared" si="5"/>
        <v>-585.86000000000013</v>
      </c>
    </row>
    <row r="326" spans="1:11" x14ac:dyDescent="0.2">
      <c r="A326" s="8" t="s">
        <v>359</v>
      </c>
      <c r="B326" s="8" t="s">
        <v>330</v>
      </c>
      <c r="C326" s="9" t="s">
        <v>26</v>
      </c>
      <c r="D326" s="9" t="s">
        <v>50</v>
      </c>
      <c r="E326" s="8" t="s">
        <v>51</v>
      </c>
      <c r="F326" s="10">
        <v>7108.01</v>
      </c>
      <c r="G326" s="10">
        <v>4518.2700000000004</v>
      </c>
      <c r="H326" s="10">
        <v>4975.6099999999997</v>
      </c>
      <c r="I326" s="11">
        <v>8.4</v>
      </c>
      <c r="J326" s="12">
        <v>423</v>
      </c>
      <c r="K326" s="13">
        <f t="shared" si="5"/>
        <v>-457.33999999999924</v>
      </c>
    </row>
    <row r="327" spans="1:11" x14ac:dyDescent="0.2">
      <c r="A327" s="2" t="s">
        <v>360</v>
      </c>
      <c r="B327" s="2" t="s">
        <v>330</v>
      </c>
      <c r="C327" s="3" t="s">
        <v>14</v>
      </c>
      <c r="D327" s="3" t="s">
        <v>58</v>
      </c>
      <c r="E327" s="2" t="s">
        <v>51</v>
      </c>
      <c r="F327" s="4">
        <v>4567.92</v>
      </c>
      <c r="G327" s="4">
        <v>3008.96</v>
      </c>
      <c r="H327" s="4">
        <v>3288.9</v>
      </c>
      <c r="I327" s="5">
        <v>7.6</v>
      </c>
      <c r="J327" s="6">
        <v>585</v>
      </c>
      <c r="K327" s="7">
        <f t="shared" si="5"/>
        <v>-279.94000000000005</v>
      </c>
    </row>
    <row r="328" spans="1:11" x14ac:dyDescent="0.2">
      <c r="A328" s="8" t="s">
        <v>361</v>
      </c>
      <c r="B328" s="8" t="s">
        <v>330</v>
      </c>
      <c r="C328" s="9" t="s">
        <v>18</v>
      </c>
      <c r="D328" s="9" t="s">
        <v>58</v>
      </c>
      <c r="E328" s="8" t="s">
        <v>51</v>
      </c>
      <c r="F328" s="10">
        <v>4463.08</v>
      </c>
      <c r="G328" s="10">
        <v>2744.1</v>
      </c>
      <c r="H328" s="10">
        <v>3034.89</v>
      </c>
      <c r="I328" s="11">
        <v>11.9</v>
      </c>
      <c r="J328" s="12">
        <v>576</v>
      </c>
      <c r="K328" s="13">
        <f t="shared" si="5"/>
        <v>-290.78999999999996</v>
      </c>
    </row>
    <row r="329" spans="1:11" x14ac:dyDescent="0.2">
      <c r="A329" s="2" t="s">
        <v>362</v>
      </c>
      <c r="B329" s="2" t="s">
        <v>330</v>
      </c>
      <c r="C329" s="3" t="s">
        <v>20</v>
      </c>
      <c r="D329" s="3" t="s">
        <v>58</v>
      </c>
      <c r="E329" s="2" t="s">
        <v>51</v>
      </c>
      <c r="F329" s="4">
        <v>4355.75</v>
      </c>
      <c r="G329" s="4">
        <v>2583.61</v>
      </c>
      <c r="H329" s="4">
        <v>2831.24</v>
      </c>
      <c r="I329" s="5">
        <v>9.8000000000000007</v>
      </c>
      <c r="J329" s="6">
        <v>525</v>
      </c>
      <c r="K329" s="7">
        <f t="shared" si="5"/>
        <v>-247.62999999999965</v>
      </c>
    </row>
    <row r="330" spans="1:11" x14ac:dyDescent="0.2">
      <c r="A330" s="8" t="s">
        <v>363</v>
      </c>
      <c r="B330" s="8" t="s">
        <v>330</v>
      </c>
      <c r="C330" s="9" t="s">
        <v>22</v>
      </c>
      <c r="D330" s="9" t="s">
        <v>58</v>
      </c>
      <c r="E330" s="8" t="s">
        <v>51</v>
      </c>
      <c r="F330" s="10">
        <v>4083.94</v>
      </c>
      <c r="G330" s="10">
        <v>2958.1</v>
      </c>
      <c r="H330" s="10">
        <v>3185.47</v>
      </c>
      <c r="I330" s="11">
        <v>4.7</v>
      </c>
      <c r="J330" s="12">
        <v>491</v>
      </c>
      <c r="K330" s="13">
        <f t="shared" si="5"/>
        <v>-227.36999999999989</v>
      </c>
    </row>
    <row r="331" spans="1:11" x14ac:dyDescent="0.2">
      <c r="A331" s="2" t="s">
        <v>364</v>
      </c>
      <c r="B331" s="2" t="s">
        <v>330</v>
      </c>
      <c r="C331" s="3" t="s">
        <v>24</v>
      </c>
      <c r="D331" s="3" t="s">
        <v>58</v>
      </c>
      <c r="E331" s="2" t="s">
        <v>51</v>
      </c>
      <c r="F331" s="4">
        <v>4576.04</v>
      </c>
      <c r="G331" s="4">
        <v>2109.73</v>
      </c>
      <c r="H331" s="4">
        <v>2516.8200000000002</v>
      </c>
      <c r="I331" s="5">
        <v>14.3</v>
      </c>
      <c r="J331" s="6">
        <v>479</v>
      </c>
      <c r="K331" s="7">
        <f t="shared" si="5"/>
        <v>-407.09000000000015</v>
      </c>
    </row>
    <row r="332" spans="1:11" x14ac:dyDescent="0.2">
      <c r="A332" s="8" t="s">
        <v>365</v>
      </c>
      <c r="B332" s="8" t="s">
        <v>330</v>
      </c>
      <c r="C332" s="9" t="s">
        <v>26</v>
      </c>
      <c r="D332" s="9" t="s">
        <v>58</v>
      </c>
      <c r="E332" s="8" t="s">
        <v>51</v>
      </c>
      <c r="F332" s="10">
        <v>3844.82</v>
      </c>
      <c r="G332" s="10">
        <v>2376.21</v>
      </c>
      <c r="H332" s="10">
        <v>2691.37</v>
      </c>
      <c r="I332" s="11">
        <v>8.8000000000000007</v>
      </c>
      <c r="J332" s="12">
        <v>581</v>
      </c>
      <c r="K332" s="13">
        <f t="shared" si="5"/>
        <v>-315.15999999999985</v>
      </c>
    </row>
    <row r="333" spans="1:11" x14ac:dyDescent="0.2">
      <c r="A333" s="2" t="s">
        <v>366</v>
      </c>
      <c r="B333" s="2" t="s">
        <v>330</v>
      </c>
      <c r="C333" s="3" t="s">
        <v>14</v>
      </c>
      <c r="D333" s="3" t="s">
        <v>65</v>
      </c>
      <c r="E333" s="2" t="s">
        <v>36</v>
      </c>
      <c r="F333" s="4">
        <v>23474.53</v>
      </c>
      <c r="G333" s="4">
        <v>14746.63</v>
      </c>
      <c r="H333" s="4">
        <v>16901.66</v>
      </c>
      <c r="I333" s="5">
        <v>9.4</v>
      </c>
      <c r="J333" s="6">
        <v>70</v>
      </c>
      <c r="K333" s="7">
        <f t="shared" si="5"/>
        <v>-2155.0300000000007</v>
      </c>
    </row>
    <row r="334" spans="1:11" x14ac:dyDescent="0.2">
      <c r="A334" s="8" t="s">
        <v>367</v>
      </c>
      <c r="B334" s="8" t="s">
        <v>330</v>
      </c>
      <c r="C334" s="9" t="s">
        <v>18</v>
      </c>
      <c r="D334" s="9" t="s">
        <v>65</v>
      </c>
      <c r="E334" s="8" t="s">
        <v>36</v>
      </c>
      <c r="F334" s="10">
        <v>23171.75</v>
      </c>
      <c r="G334" s="10">
        <v>13994.45</v>
      </c>
      <c r="H334" s="10">
        <v>15756.79</v>
      </c>
      <c r="I334" s="11">
        <v>10.3</v>
      </c>
      <c r="J334" s="12">
        <v>66</v>
      </c>
      <c r="K334" s="13">
        <f t="shared" si="5"/>
        <v>-1762.3400000000001</v>
      </c>
    </row>
    <row r="335" spans="1:11" x14ac:dyDescent="0.2">
      <c r="A335" s="2" t="s">
        <v>368</v>
      </c>
      <c r="B335" s="2" t="s">
        <v>330</v>
      </c>
      <c r="C335" s="3" t="s">
        <v>20</v>
      </c>
      <c r="D335" s="3" t="s">
        <v>65</v>
      </c>
      <c r="E335" s="2" t="s">
        <v>36</v>
      </c>
      <c r="F335" s="4">
        <v>23457.919999999998</v>
      </c>
      <c r="G335" s="4">
        <v>13984.04</v>
      </c>
      <c r="H335" s="4">
        <v>15247.65</v>
      </c>
      <c r="I335" s="5">
        <v>10.5</v>
      </c>
      <c r="J335" s="6">
        <v>66</v>
      </c>
      <c r="K335" s="7">
        <f t="shared" si="5"/>
        <v>-1263.6099999999988</v>
      </c>
    </row>
    <row r="336" spans="1:11" x14ac:dyDescent="0.2">
      <c r="A336" s="8" t="s">
        <v>369</v>
      </c>
      <c r="B336" s="8" t="s">
        <v>330</v>
      </c>
      <c r="C336" s="9" t="s">
        <v>22</v>
      </c>
      <c r="D336" s="9" t="s">
        <v>65</v>
      </c>
      <c r="E336" s="8" t="s">
        <v>36</v>
      </c>
      <c r="F336" s="10">
        <v>21725.759999999998</v>
      </c>
      <c r="G336" s="10">
        <v>16360.29</v>
      </c>
      <c r="H336" s="10">
        <v>16946.09</v>
      </c>
      <c r="I336" s="11">
        <v>4.8</v>
      </c>
      <c r="J336" s="12">
        <v>68</v>
      </c>
      <c r="K336" s="13">
        <f t="shared" si="5"/>
        <v>-585.79999999999927</v>
      </c>
    </row>
    <row r="337" spans="1:11" x14ac:dyDescent="0.2">
      <c r="A337" s="2" t="s">
        <v>370</v>
      </c>
      <c r="B337" s="2" t="s">
        <v>330</v>
      </c>
      <c r="C337" s="3" t="s">
        <v>24</v>
      </c>
      <c r="D337" s="3" t="s">
        <v>65</v>
      </c>
      <c r="E337" s="2" t="s">
        <v>36</v>
      </c>
      <c r="F337" s="4">
        <v>21754.47</v>
      </c>
      <c r="G337" s="4">
        <v>10531.07</v>
      </c>
      <c r="H337" s="4">
        <v>11964.96</v>
      </c>
      <c r="I337" s="5">
        <v>13.7</v>
      </c>
      <c r="J337" s="6">
        <v>72</v>
      </c>
      <c r="K337" s="7">
        <f t="shared" si="5"/>
        <v>-1433.8899999999994</v>
      </c>
    </row>
    <row r="338" spans="1:11" x14ac:dyDescent="0.2">
      <c r="A338" s="8" t="s">
        <v>371</v>
      </c>
      <c r="B338" s="8" t="s">
        <v>330</v>
      </c>
      <c r="C338" s="9" t="s">
        <v>26</v>
      </c>
      <c r="D338" s="9" t="s">
        <v>65</v>
      </c>
      <c r="E338" s="8" t="s">
        <v>36</v>
      </c>
      <c r="F338" s="10">
        <v>22149.65</v>
      </c>
      <c r="G338" s="10">
        <v>14743.66</v>
      </c>
      <c r="H338" s="10">
        <v>15504.75</v>
      </c>
      <c r="I338" s="11">
        <v>7.2</v>
      </c>
      <c r="J338" s="12">
        <v>73</v>
      </c>
      <c r="K338" s="13">
        <f t="shared" si="5"/>
        <v>-761.09000000000015</v>
      </c>
    </row>
    <row r="339" spans="1:11" x14ac:dyDescent="0.2">
      <c r="A339" s="14" t="s">
        <v>372</v>
      </c>
      <c r="B339" s="1"/>
      <c r="C339" s="1"/>
      <c r="D339" s="1"/>
      <c r="E339" s="1"/>
      <c r="F339" s="15">
        <f>SUM(F3:F338)</f>
        <v>5991938.629999999</v>
      </c>
      <c r="G339" s="15">
        <f>SUM(G3:G338)</f>
        <v>3708677.1799999997</v>
      </c>
      <c r="H339" s="15">
        <f>SUM(H3:H338)</f>
        <v>4074854.5300000007</v>
      </c>
      <c r="I339" s="16">
        <f>AVERAGE(I3:I338)</f>
        <v>9.3967261904761905</v>
      </c>
      <c r="J339" s="17">
        <f>SUM(J3:J338)</f>
        <v>72779</v>
      </c>
      <c r="K339" s="18">
        <f>SUM(K3:K338)</f>
        <v>-366177.35000000015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17"/>
  <sheetViews>
    <sheetView showGridLines="0" zoomScaleNormal="100" workbookViewId="0">
      <selection activeCell="A3" sqref="A3"/>
    </sheetView>
  </sheetViews>
  <sheetFormatPr baseColWidth="10" defaultColWidth="8.6640625" defaultRowHeight="15" x14ac:dyDescent="0.2"/>
  <cols>
    <col min="1" max="1" width="43.83203125" bestFit="1" customWidth="1"/>
    <col min="2" max="2" width="20" customWidth="1"/>
    <col min="3" max="3" width="22" customWidth="1"/>
    <col min="4" max="4" width="24" customWidth="1"/>
    <col min="5" max="5" width="18" customWidth="1"/>
    <col min="6" max="6" width="20" customWidth="1"/>
    <col min="7" max="7" width="14" customWidth="1"/>
    <col min="8" max="8" width="22" customWidth="1"/>
  </cols>
  <sheetData>
    <row r="1" spans="1:8" ht="27.75" customHeight="1" x14ac:dyDescent="0.2">
      <c r="A1" s="41" t="s">
        <v>373</v>
      </c>
      <c r="B1" s="41"/>
      <c r="C1" s="41"/>
      <c r="D1" s="41"/>
      <c r="E1" s="41"/>
      <c r="F1" s="41"/>
      <c r="G1" s="41"/>
      <c r="H1" s="41"/>
    </row>
    <row r="2" spans="1:8" ht="15.75" customHeight="1" x14ac:dyDescent="0.2">
      <c r="A2" s="19" t="s">
        <v>374</v>
      </c>
    </row>
    <row r="3" spans="1:8" ht="36" customHeight="1" x14ac:dyDescent="0.2">
      <c r="A3" s="1" t="s">
        <v>3</v>
      </c>
      <c r="B3" s="1" t="s">
        <v>375</v>
      </c>
      <c r="C3" s="1" t="s">
        <v>376</v>
      </c>
      <c r="D3" s="1" t="s">
        <v>8</v>
      </c>
      <c r="E3" s="1" t="s">
        <v>11</v>
      </c>
      <c r="F3" s="1" t="s">
        <v>377</v>
      </c>
      <c r="G3" s="1" t="s">
        <v>378</v>
      </c>
      <c r="H3" s="1" t="s">
        <v>379</v>
      </c>
    </row>
    <row r="4" spans="1:8" x14ac:dyDescent="0.2">
      <c r="A4" s="20" t="s">
        <v>14</v>
      </c>
      <c r="B4" s="21">
        <f>SUMIF('2 - Raw Claims Data'!C:C,A4,'2 - Raw Claims Data'!F:F)</f>
        <v>997084.21999999986</v>
      </c>
      <c r="C4" s="21">
        <f>SUMIF('2 - Raw Claims Data'!C:C,A4,'2 - Raw Claims Data'!G:G)</f>
        <v>659435.89</v>
      </c>
      <c r="D4" s="21">
        <f>SUMIF('2 - Raw Claims Data'!C:C,A4,'2 - Raw Claims Data'!H:H)</f>
        <v>717900.63000000012</v>
      </c>
      <c r="E4" s="22">
        <f t="shared" ref="E4:E9" si="0">C4-D4</f>
        <v>-58464.740000000107</v>
      </c>
      <c r="F4" s="11">
        <f>AVERAGEIF('2 - Raw Claims Data'!C:C,A4,'2 - Raw Claims Data'!I:I)</f>
        <v>8.2446428571428569</v>
      </c>
      <c r="G4" s="12">
        <f>SUMIF('2 - Raw Claims Data'!C:C,A4,'2 - Raw Claims Data'!J:J)</f>
        <v>12323</v>
      </c>
      <c r="H4" s="23">
        <f t="shared" ref="H4:H10" si="1">C4/B4</f>
        <v>0.66136428274835213</v>
      </c>
    </row>
    <row r="5" spans="1:8" x14ac:dyDescent="0.2">
      <c r="A5" s="24" t="s">
        <v>18</v>
      </c>
      <c r="B5" s="25">
        <f>SUMIF('2 - Raw Claims Data'!C:C,A5,'2 - Raw Claims Data'!F:F)</f>
        <v>1009175.3600000001</v>
      </c>
      <c r="C5" s="25">
        <f>SUMIF('2 - Raw Claims Data'!C:C,A5,'2 - Raw Claims Data'!G:G)</f>
        <v>608996.87000000011</v>
      </c>
      <c r="D5" s="25">
        <f>SUMIF('2 - Raw Claims Data'!C:C,A5,'2 - Raw Claims Data'!H:H)</f>
        <v>686239.23000000021</v>
      </c>
      <c r="E5" s="26">
        <f t="shared" si="0"/>
        <v>-77242.360000000102</v>
      </c>
      <c r="F5" s="5">
        <f>AVERAGEIF('2 - Raw Claims Data'!C:C,A5,'2 - Raw Claims Data'!I:I)</f>
        <v>11.471428571428572</v>
      </c>
      <c r="G5" s="6">
        <f>SUMIF('2 - Raw Claims Data'!C:C,A5,'2 - Raw Claims Data'!J:J)</f>
        <v>12252</v>
      </c>
      <c r="H5" s="27">
        <f t="shared" si="1"/>
        <v>0.60345990809763728</v>
      </c>
    </row>
    <row r="6" spans="1:8" x14ac:dyDescent="0.2">
      <c r="A6" s="20" t="s">
        <v>20</v>
      </c>
      <c r="B6" s="21">
        <f>SUMIF('2 - Raw Claims Data'!C:C,A6,'2 - Raw Claims Data'!F:F)</f>
        <v>983676.5199999999</v>
      </c>
      <c r="C6" s="21">
        <f>SUMIF('2 - Raw Claims Data'!C:C,A6,'2 - Raw Claims Data'!G:G)</f>
        <v>578688.79000000015</v>
      </c>
      <c r="D6" s="21">
        <f>SUMIF('2 - Raw Claims Data'!C:C,A6,'2 - Raw Claims Data'!H:H)</f>
        <v>639389.7300000001</v>
      </c>
      <c r="E6" s="22">
        <f t="shared" si="0"/>
        <v>-60700.939999999944</v>
      </c>
      <c r="F6" s="11">
        <f>AVERAGEIF('2 - Raw Claims Data'!C:C,A6,'2 - Raw Claims Data'!I:I)</f>
        <v>9.678571428571427</v>
      </c>
      <c r="G6" s="12">
        <f>SUMIF('2 - Raw Claims Data'!C:C,A6,'2 - Raw Claims Data'!J:J)</f>
        <v>11876</v>
      </c>
      <c r="H6" s="23">
        <f t="shared" si="1"/>
        <v>0.58829175875825546</v>
      </c>
    </row>
    <row r="7" spans="1:8" x14ac:dyDescent="0.2">
      <c r="A7" s="24" t="s">
        <v>22</v>
      </c>
      <c r="B7" s="25">
        <f>SUMIF('2 - Raw Claims Data'!C:C,A7,'2 - Raw Claims Data'!F:F)</f>
        <v>996834.23999999987</v>
      </c>
      <c r="C7" s="25">
        <f>SUMIF('2 - Raw Claims Data'!C:C,A7,'2 - Raw Claims Data'!G:G)</f>
        <v>741338.04</v>
      </c>
      <c r="D7" s="25">
        <f>SUMIF('2 - Raw Claims Data'!C:C,A7,'2 - Raw Claims Data'!H:H)</f>
        <v>777530.68999999983</v>
      </c>
      <c r="E7" s="26">
        <f t="shared" si="0"/>
        <v>-36192.64999999979</v>
      </c>
      <c r="F7" s="5">
        <f>AVERAGEIF('2 - Raw Claims Data'!C:C,A7,'2 - Raw Claims Data'!I:I)</f>
        <v>5.0249999999999995</v>
      </c>
      <c r="G7" s="6">
        <f>SUMIF('2 - Raw Claims Data'!C:C,A7,'2 - Raw Claims Data'!J:J)</f>
        <v>12117</v>
      </c>
      <c r="H7" s="27">
        <f t="shared" si="1"/>
        <v>0.7436923916257131</v>
      </c>
    </row>
    <row r="8" spans="1:8" x14ac:dyDescent="0.2">
      <c r="A8" s="20" t="s">
        <v>24</v>
      </c>
      <c r="B8" s="21">
        <f>SUMIF('2 - Raw Claims Data'!C:C,A8,'2 - Raw Claims Data'!F:F)</f>
        <v>998823.66999999969</v>
      </c>
      <c r="C8" s="21">
        <f>SUMIF('2 - Raw Claims Data'!C:C,A8,'2 - Raw Claims Data'!G:G)</f>
        <v>471718.43</v>
      </c>
      <c r="D8" s="21">
        <f>SUMIF('2 - Raw Claims Data'!C:C,A8,'2 - Raw Claims Data'!H:H)</f>
        <v>549353.0499999997</v>
      </c>
      <c r="E8" s="22">
        <f t="shared" si="0"/>
        <v>-77634.619999999704</v>
      </c>
      <c r="F8" s="11">
        <f>AVERAGEIF('2 - Raw Claims Data'!C:C,A8,'2 - Raw Claims Data'!I:I)</f>
        <v>14.208928571428574</v>
      </c>
      <c r="G8" s="12">
        <f>SUMIF('2 - Raw Claims Data'!C:C,A8,'2 - Raw Claims Data'!J:J)</f>
        <v>12050</v>
      </c>
      <c r="H8" s="23">
        <f t="shared" si="1"/>
        <v>0.4722739800509535</v>
      </c>
    </row>
    <row r="9" spans="1:8" x14ac:dyDescent="0.2">
      <c r="A9" s="24" t="s">
        <v>26</v>
      </c>
      <c r="B9" s="25">
        <f>SUMIF('2 - Raw Claims Data'!C:C,A9,'2 - Raw Claims Data'!F:F)</f>
        <v>1006344.6200000002</v>
      </c>
      <c r="C9" s="25">
        <f>SUMIF('2 - Raw Claims Data'!C:C,A9,'2 - Raw Claims Data'!G:G)</f>
        <v>648499.1599999998</v>
      </c>
      <c r="D9" s="25">
        <f>SUMIF('2 - Raw Claims Data'!C:C,A9,'2 - Raw Claims Data'!H:H)</f>
        <v>704441.2</v>
      </c>
      <c r="E9" s="26">
        <f t="shared" si="0"/>
        <v>-55942.040000000154</v>
      </c>
      <c r="F9" s="5">
        <f>AVERAGEIF('2 - Raw Claims Data'!C:C,A9,'2 - Raw Claims Data'!I:I)</f>
        <v>7.7517857142857149</v>
      </c>
      <c r="G9" s="6">
        <f>SUMIF('2 - Raw Claims Data'!C:C,A9,'2 - Raw Claims Data'!J:J)</f>
        <v>12161</v>
      </c>
      <c r="H9" s="27">
        <f t="shared" si="1"/>
        <v>0.64441061949533718</v>
      </c>
    </row>
    <row r="10" spans="1:8" x14ac:dyDescent="0.2">
      <c r="A10" s="14" t="s">
        <v>380</v>
      </c>
      <c r="B10" s="15">
        <f>SUM(B4:B9)</f>
        <v>5991938.6299999999</v>
      </c>
      <c r="C10" s="15">
        <f>SUM(C4:C9)</f>
        <v>3708677.18</v>
      </c>
      <c r="D10" s="15">
        <f>SUM(D4:D9)</f>
        <v>4074854.5300000003</v>
      </c>
      <c r="E10" s="18">
        <f>SUM(E4:E9)</f>
        <v>-366177.3499999998</v>
      </c>
      <c r="F10" s="16">
        <f>AVERAGE(F4:F9)</f>
        <v>9.3967261904761905</v>
      </c>
      <c r="G10" s="17">
        <f>SUM(G4:G9)</f>
        <v>72779</v>
      </c>
      <c r="H10" s="28">
        <f t="shared" si="1"/>
        <v>0.61894445337468351</v>
      </c>
    </row>
    <row r="12" spans="1:8" ht="15" customHeight="1" x14ac:dyDescent="0.2">
      <c r="A12" s="42" t="s">
        <v>381</v>
      </c>
      <c r="B12" s="42"/>
      <c r="C12" s="42"/>
      <c r="D12" s="42"/>
      <c r="E12" s="42"/>
      <c r="F12" s="42"/>
      <c r="G12" s="42"/>
      <c r="H12" s="42"/>
    </row>
    <row r="13" spans="1:8" ht="18" customHeight="1" x14ac:dyDescent="0.2">
      <c r="A13" s="40" t="s">
        <v>452</v>
      </c>
      <c r="B13" s="40"/>
      <c r="C13" s="40"/>
      <c r="D13" s="40"/>
      <c r="E13" s="40"/>
      <c r="F13" s="40"/>
      <c r="G13" s="40"/>
      <c r="H13" s="40"/>
    </row>
    <row r="14" spans="1:8" ht="18" customHeight="1" x14ac:dyDescent="0.2">
      <c r="A14" s="40" t="s">
        <v>382</v>
      </c>
      <c r="B14" s="40"/>
      <c r="C14" s="40"/>
      <c r="D14" s="40"/>
      <c r="E14" s="40"/>
      <c r="F14" s="40"/>
      <c r="G14" s="40"/>
      <c r="H14" s="40"/>
    </row>
    <row r="15" spans="1:8" ht="18" customHeight="1" x14ac:dyDescent="0.2">
      <c r="A15" s="40" t="s">
        <v>453</v>
      </c>
      <c r="B15" s="40"/>
      <c r="C15" s="40"/>
      <c r="D15" s="40"/>
      <c r="E15" s="40"/>
      <c r="F15" s="40"/>
      <c r="G15" s="40"/>
      <c r="H15" s="40"/>
    </row>
    <row r="16" spans="1:8" ht="18" customHeight="1" x14ac:dyDescent="0.2">
      <c r="A16" s="40" t="s">
        <v>383</v>
      </c>
      <c r="B16" s="40"/>
      <c r="C16" s="40"/>
      <c r="D16" s="40"/>
      <c r="E16" s="40"/>
      <c r="F16" s="40"/>
      <c r="G16" s="40"/>
      <c r="H16" s="40"/>
    </row>
    <row r="17" spans="1:8" ht="18" customHeight="1" x14ac:dyDescent="0.2">
      <c r="A17" s="40" t="s">
        <v>384</v>
      </c>
      <c r="B17" s="40"/>
      <c r="C17" s="40"/>
      <c r="D17" s="40"/>
      <c r="E17" s="40"/>
      <c r="F17" s="40"/>
      <c r="G17" s="40"/>
      <c r="H17" s="40"/>
    </row>
  </sheetData>
  <mergeCells count="7">
    <mergeCell ref="A16:H16"/>
    <mergeCell ref="A17:H17"/>
    <mergeCell ref="A1:H1"/>
    <mergeCell ref="A12:H12"/>
    <mergeCell ref="A13:H13"/>
    <mergeCell ref="A14:H14"/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H11"/>
  <sheetViews>
    <sheetView showGridLines="0" zoomScaleNormal="100" workbookViewId="0">
      <selection activeCell="B5" sqref="B5"/>
    </sheetView>
  </sheetViews>
  <sheetFormatPr baseColWidth="10" defaultColWidth="8.6640625" defaultRowHeight="15" x14ac:dyDescent="0.2"/>
  <cols>
    <col min="1" max="1" width="17.5" bestFit="1" customWidth="1"/>
    <col min="2" max="2" width="16" customWidth="1"/>
    <col min="3" max="3" width="14" customWidth="1"/>
    <col min="4" max="4" width="18" customWidth="1"/>
    <col min="5" max="5" width="20" customWidth="1"/>
    <col min="6" max="6" width="22" customWidth="1"/>
    <col min="7" max="7" width="18" customWidth="1"/>
    <col min="8" max="8" width="14" customWidth="1"/>
  </cols>
  <sheetData>
    <row r="1" spans="1:8" ht="27.75" customHeight="1" x14ac:dyDescent="0.2">
      <c r="A1" s="41" t="s">
        <v>385</v>
      </c>
      <c r="B1" s="41"/>
      <c r="C1" s="41"/>
      <c r="D1" s="41"/>
      <c r="E1" s="41"/>
      <c r="F1" s="41"/>
      <c r="G1" s="41"/>
      <c r="H1" s="41"/>
    </row>
    <row r="2" spans="1:8" ht="39" x14ac:dyDescent="0.2">
      <c r="A2" s="19" t="s">
        <v>386</v>
      </c>
    </row>
    <row r="3" spans="1:8" ht="36" customHeight="1" x14ac:dyDescent="0.2">
      <c r="A3" s="1" t="s">
        <v>4</v>
      </c>
      <c r="B3" s="1" t="s">
        <v>5</v>
      </c>
      <c r="C3" s="1" t="s">
        <v>378</v>
      </c>
      <c r="D3" s="1" t="s">
        <v>375</v>
      </c>
      <c r="E3" s="1" t="s">
        <v>376</v>
      </c>
      <c r="F3" s="1" t="s">
        <v>387</v>
      </c>
      <c r="G3" s="1" t="s">
        <v>377</v>
      </c>
      <c r="H3" s="1" t="s">
        <v>388</v>
      </c>
    </row>
    <row r="4" spans="1:8" x14ac:dyDescent="0.2">
      <c r="A4" s="20" t="s">
        <v>15</v>
      </c>
      <c r="B4" s="8" t="s">
        <v>16</v>
      </c>
      <c r="C4" s="12">
        <f>SUMIF('2 - Raw Claims Data'!D:D,A4,'2 - Raw Claims Data'!J:J)</f>
        <v>6807</v>
      </c>
      <c r="D4" s="21">
        <f>SUMIF('2 - Raw Claims Data'!D:D,A4,'2 - Raw Claims Data'!F:F)</f>
        <v>1338000.0899999996</v>
      </c>
      <c r="E4" s="21">
        <f>SUMIF('2 - Raw Claims Data'!D:D,A4,'2 - Raw Claims Data'!G:G)</f>
        <v>831084.56</v>
      </c>
      <c r="F4" s="21">
        <f t="shared" ref="F4:F11" si="0">E4/C4</f>
        <v>122.09263405318056</v>
      </c>
      <c r="G4" s="11">
        <f>AVERAGEIF('2 - Raw Claims Data'!D:D,A4,'2 - Raw Claims Data'!I:I)</f>
        <v>9.3229166666666679</v>
      </c>
      <c r="H4" s="29" t="s">
        <v>389</v>
      </c>
    </row>
    <row r="5" spans="1:8" x14ac:dyDescent="0.2">
      <c r="A5" s="24" t="s">
        <v>28</v>
      </c>
      <c r="B5" s="2" t="s">
        <v>16</v>
      </c>
      <c r="C5" s="6">
        <f>SUMIF('2 - Raw Claims Data'!D:D,A5,'2 - Raw Claims Data'!J:J)</f>
        <v>4655</v>
      </c>
      <c r="D5" s="25">
        <f>SUMIF('2 - Raw Claims Data'!D:D,A5,'2 - Raw Claims Data'!F:F)</f>
        <v>1542425.76</v>
      </c>
      <c r="E5" s="25">
        <f>SUMIF('2 - Raw Claims Data'!D:D,A5,'2 - Raw Claims Data'!G:G)</f>
        <v>952363.22</v>
      </c>
      <c r="F5" s="25">
        <f t="shared" si="0"/>
        <v>204.58930612244896</v>
      </c>
      <c r="G5" s="5">
        <f>AVERAGEIF('2 - Raw Claims Data'!D:D,A5,'2 - Raw Claims Data'!I:I)</f>
        <v>9.345833333333335</v>
      </c>
      <c r="H5" s="29" t="s">
        <v>389</v>
      </c>
    </row>
    <row r="6" spans="1:8" x14ac:dyDescent="0.2">
      <c r="A6" s="20" t="s">
        <v>35</v>
      </c>
      <c r="B6" s="8" t="s">
        <v>36</v>
      </c>
      <c r="C6" s="12">
        <f>SUMIF('2 - Raw Claims Data'!D:D,A6,'2 - Raw Claims Data'!J:J)</f>
        <v>2980</v>
      </c>
      <c r="D6" s="21">
        <f>SUMIF('2 - Raw Claims Data'!D:D,A6,'2 - Raw Claims Data'!F:F)</f>
        <v>861289.14000000013</v>
      </c>
      <c r="E6" s="21">
        <f>SUMIF('2 - Raw Claims Data'!D:D,A6,'2 - Raw Claims Data'!G:G)</f>
        <v>529834.56000000006</v>
      </c>
      <c r="F6" s="21">
        <f t="shared" si="0"/>
        <v>177.79683221476512</v>
      </c>
      <c r="G6" s="11">
        <f>AVERAGEIF('2 - Raw Claims Data'!D:D,A6,'2 - Raw Claims Data'!I:I)</f>
        <v>9.6875000000000018</v>
      </c>
      <c r="H6" s="30" t="s">
        <v>390</v>
      </c>
    </row>
    <row r="7" spans="1:8" x14ac:dyDescent="0.2">
      <c r="A7" s="24" t="s">
        <v>43</v>
      </c>
      <c r="B7" s="2" t="s">
        <v>16</v>
      </c>
      <c r="C7" s="6">
        <f>SUMIF('2 - Raw Claims Data'!D:D,A7,'2 - Raw Claims Data'!J:J)</f>
        <v>9095</v>
      </c>
      <c r="D7" s="25">
        <f>SUMIF('2 - Raw Claims Data'!D:D,A7,'2 - Raw Claims Data'!F:F)</f>
        <v>673275.87</v>
      </c>
      <c r="E7" s="25">
        <f>SUMIF('2 - Raw Claims Data'!D:D,A7,'2 - Raw Claims Data'!G:G)</f>
        <v>416245.52</v>
      </c>
      <c r="F7" s="25">
        <f t="shared" si="0"/>
        <v>45.766412314458499</v>
      </c>
      <c r="G7" s="5">
        <f>AVERAGEIF('2 - Raw Claims Data'!D:D,A7,'2 - Raw Claims Data'!I:I)</f>
        <v>9.2479166666666668</v>
      </c>
      <c r="H7" s="31" t="s">
        <v>391</v>
      </c>
    </row>
    <row r="8" spans="1:8" x14ac:dyDescent="0.2">
      <c r="A8" s="20" t="s">
        <v>50</v>
      </c>
      <c r="B8" s="8" t="s">
        <v>51</v>
      </c>
      <c r="C8" s="12">
        <f>SUMIF('2 - Raw Claims Data'!D:D,A8,'2 - Raw Claims Data'!J:J)</f>
        <v>19822</v>
      </c>
      <c r="D8" s="21">
        <f>SUMIF('2 - Raw Claims Data'!D:D,A8,'2 - Raw Claims Data'!F:F)</f>
        <v>312975.63</v>
      </c>
      <c r="E8" s="21">
        <f>SUMIF('2 - Raw Claims Data'!D:D,A8,'2 - Raw Claims Data'!G:G)</f>
        <v>194511.38999999993</v>
      </c>
      <c r="F8" s="21">
        <f t="shared" si="0"/>
        <v>9.8129043487034568</v>
      </c>
      <c r="G8" s="11">
        <f>AVERAGEIF('2 - Raw Claims Data'!D:D,A8,'2 - Raw Claims Data'!I:I)</f>
        <v>9.6520833333333318</v>
      </c>
      <c r="H8" s="30" t="s">
        <v>390</v>
      </c>
    </row>
    <row r="9" spans="1:8" x14ac:dyDescent="0.2">
      <c r="A9" s="24" t="s">
        <v>58</v>
      </c>
      <c r="B9" s="2" t="s">
        <v>51</v>
      </c>
      <c r="C9" s="6">
        <f>SUMIF('2 - Raw Claims Data'!D:D,A9,'2 - Raw Claims Data'!J:J)</f>
        <v>25898</v>
      </c>
      <c r="D9" s="25">
        <f>SUMIF('2 - Raw Claims Data'!D:D,A9,'2 - Raw Claims Data'!F:F)</f>
        <v>201649.15000000005</v>
      </c>
      <c r="E9" s="25">
        <f>SUMIF('2 - Raw Claims Data'!D:D,A9,'2 - Raw Claims Data'!G:G)</f>
        <v>124486.49000000003</v>
      </c>
      <c r="F9" s="25">
        <f t="shared" si="0"/>
        <v>4.8067993667464686</v>
      </c>
      <c r="G9" s="5">
        <f>AVERAGEIF('2 - Raw Claims Data'!D:D,A9,'2 - Raw Claims Data'!I:I)</f>
        <v>9.3562500000000011</v>
      </c>
      <c r="H9" s="31" t="s">
        <v>391</v>
      </c>
    </row>
    <row r="10" spans="1:8" x14ac:dyDescent="0.2">
      <c r="A10" s="20" t="s">
        <v>65</v>
      </c>
      <c r="B10" s="8" t="s">
        <v>36</v>
      </c>
      <c r="C10" s="12">
        <f>SUMIF('2 - Raw Claims Data'!D:D,A10,'2 - Raw Claims Data'!J:J)</f>
        <v>3522</v>
      </c>
      <c r="D10" s="21">
        <f>SUMIF('2 - Raw Claims Data'!D:D,A10,'2 - Raw Claims Data'!F:F)</f>
        <v>1062322.99</v>
      </c>
      <c r="E10" s="21">
        <f>SUMIF('2 - Raw Claims Data'!D:D,A10,'2 - Raw Claims Data'!G:G)</f>
        <v>660151.44000000006</v>
      </c>
      <c r="F10" s="21">
        <f t="shared" si="0"/>
        <v>187.43652470187396</v>
      </c>
      <c r="G10" s="11">
        <f>AVERAGEIF('2 - Raw Claims Data'!D:D,A10,'2 - Raw Claims Data'!I:I)</f>
        <v>9.1645833333333293</v>
      </c>
      <c r="H10" s="30" t="s">
        <v>390</v>
      </c>
    </row>
    <row r="11" spans="1:8" x14ac:dyDescent="0.2">
      <c r="A11" s="14" t="s">
        <v>372</v>
      </c>
      <c r="B11" s="1" t="s">
        <v>392</v>
      </c>
      <c r="C11" s="17">
        <f>SUM(C4:C10)</f>
        <v>72779</v>
      </c>
      <c r="D11" s="15">
        <f>SUM(D4:D10)</f>
        <v>5991938.6299999999</v>
      </c>
      <c r="E11" s="15">
        <f>SUM(E4:E10)</f>
        <v>3708677.18</v>
      </c>
      <c r="F11" s="15">
        <f t="shared" si="0"/>
        <v>50.958067299633136</v>
      </c>
      <c r="G11" s="16">
        <f>AVERAGE(G4:G10)</f>
        <v>9.3967261904761905</v>
      </c>
      <c r="H11" s="1" t="s">
        <v>392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G20"/>
  <sheetViews>
    <sheetView showGridLines="0" tabSelected="1" zoomScaleNormal="100" workbookViewId="0">
      <selection activeCell="B7" sqref="B7"/>
    </sheetView>
  </sheetViews>
  <sheetFormatPr baseColWidth="10" defaultColWidth="8.6640625" defaultRowHeight="15" x14ac:dyDescent="0.2"/>
  <cols>
    <col min="1" max="1" width="20" customWidth="1"/>
    <col min="2" max="2" width="22" customWidth="1"/>
    <col min="3" max="7" width="20" customWidth="1"/>
  </cols>
  <sheetData>
    <row r="1" spans="1:7" ht="27.75" customHeight="1" x14ac:dyDescent="0.2">
      <c r="A1" s="41" t="s">
        <v>393</v>
      </c>
      <c r="B1" s="41"/>
      <c r="C1" s="41"/>
      <c r="D1" s="41"/>
      <c r="E1" s="41"/>
      <c r="F1" s="41"/>
      <c r="G1" s="41"/>
    </row>
    <row r="2" spans="1:7" ht="15" customHeight="1" x14ac:dyDescent="0.2">
      <c r="A2" s="48" t="s">
        <v>394</v>
      </c>
      <c r="B2" s="48"/>
      <c r="C2" s="48"/>
      <c r="D2" s="48"/>
      <c r="E2" s="48"/>
      <c r="F2" s="48"/>
      <c r="G2" s="48"/>
    </row>
    <row r="4" spans="1:7" ht="15" customHeight="1" x14ac:dyDescent="0.2">
      <c r="A4" s="42" t="s">
        <v>395</v>
      </c>
      <c r="B4" s="42"/>
      <c r="C4" s="42"/>
      <c r="D4" s="42"/>
      <c r="E4" s="42"/>
      <c r="F4" s="42"/>
      <c r="G4" s="42"/>
    </row>
    <row r="5" spans="1:7" x14ac:dyDescent="0.2">
      <c r="A5" s="1" t="s">
        <v>396</v>
      </c>
      <c r="B5" s="1" t="s">
        <v>397</v>
      </c>
      <c r="C5" s="1" t="s">
        <v>398</v>
      </c>
    </row>
    <row r="6" spans="1:7" ht="28" x14ac:dyDescent="0.2">
      <c r="A6" s="24" t="s">
        <v>454</v>
      </c>
      <c r="B6" s="32">
        <v>0.03</v>
      </c>
      <c r="C6" s="3" t="s">
        <v>399</v>
      </c>
    </row>
    <row r="7" spans="1:7" ht="28" x14ac:dyDescent="0.2">
      <c r="A7" s="24" t="s">
        <v>455</v>
      </c>
      <c r="B7" s="32">
        <v>0.05</v>
      </c>
      <c r="C7" s="3" t="s">
        <v>400</v>
      </c>
    </row>
    <row r="8" spans="1:7" x14ac:dyDescent="0.2">
      <c r="A8" s="24" t="s">
        <v>456</v>
      </c>
      <c r="B8" s="32">
        <v>0.1</v>
      </c>
      <c r="C8" s="3" t="s">
        <v>401</v>
      </c>
    </row>
    <row r="9" spans="1:7" ht="28" x14ac:dyDescent="0.2">
      <c r="A9" s="24" t="s">
        <v>457</v>
      </c>
      <c r="B9" s="32">
        <v>-0.03</v>
      </c>
      <c r="C9" s="3" t="s">
        <v>402</v>
      </c>
    </row>
    <row r="11" spans="1:7" ht="15" customHeight="1" x14ac:dyDescent="0.2">
      <c r="A11" s="42" t="s">
        <v>403</v>
      </c>
      <c r="B11" s="42"/>
      <c r="C11" s="42"/>
      <c r="D11" s="42"/>
      <c r="E11" s="42"/>
      <c r="F11" s="42"/>
      <c r="G11" s="42"/>
    </row>
    <row r="12" spans="1:7" ht="36" customHeight="1" x14ac:dyDescent="0.2">
      <c r="A12" s="1" t="s">
        <v>4</v>
      </c>
      <c r="B12" s="1" t="s">
        <v>404</v>
      </c>
      <c r="C12" s="1" t="s">
        <v>405</v>
      </c>
      <c r="D12" s="1" t="s">
        <v>406</v>
      </c>
      <c r="E12" s="1" t="s">
        <v>407</v>
      </c>
      <c r="F12" s="1" t="s">
        <v>408</v>
      </c>
      <c r="G12" s="1" t="s">
        <v>409</v>
      </c>
    </row>
    <row r="13" spans="1:7" x14ac:dyDescent="0.2">
      <c r="A13" s="24" t="s">
        <v>15</v>
      </c>
      <c r="B13" s="25">
        <f>SUMIF('2 - Raw Claims Data'!D:D,A13,'2 - Raw Claims Data'!G:G)</f>
        <v>831084.56</v>
      </c>
      <c r="C13" s="25">
        <f>(SUMIF('2 - Raw Claims Data'!D:D,A13,'2 - Raw Claims Data'!G:G))*(1+$B$6)</f>
        <v>856017.09680000006</v>
      </c>
      <c r="D13" s="25">
        <f>(SUMIF('2 - Raw Claims Data'!D:D,A13,'2 - Raw Claims Data'!G:G))*(1+$B$7)</f>
        <v>872638.78800000006</v>
      </c>
      <c r="E13" s="25">
        <f>(SUMIF('2 - Raw Claims Data'!D:D,A13,'2 - Raw Claims Data'!G:G))*(1+$B$8)</f>
        <v>914193.01600000018</v>
      </c>
      <c r="F13" s="25">
        <f>(SUMIF('2 - Raw Claims Data'!D:D,A13,'2 - Raw Claims Data'!G:G))*(1+$B$9)</f>
        <v>806152.02320000005</v>
      </c>
      <c r="G13" s="33">
        <f t="shared" ref="G13:G20" si="0">E13-B13</f>
        <v>83108.456000000122</v>
      </c>
    </row>
    <row r="14" spans="1:7" x14ac:dyDescent="0.2">
      <c r="A14" s="20" t="s">
        <v>28</v>
      </c>
      <c r="B14" s="21">
        <f>SUMIF('2 - Raw Claims Data'!D:D,A14,'2 - Raw Claims Data'!G:G)</f>
        <v>952363.22</v>
      </c>
      <c r="C14" s="21">
        <f>(SUMIF('2 - Raw Claims Data'!D:D,A14,'2 - Raw Claims Data'!G:G))*(1+$B$6)</f>
        <v>980934.11659999995</v>
      </c>
      <c r="D14" s="21">
        <f>(SUMIF('2 - Raw Claims Data'!D:D,A14,'2 - Raw Claims Data'!G:G))*(1+$B$7)</f>
        <v>999981.38100000005</v>
      </c>
      <c r="E14" s="21">
        <f>(SUMIF('2 - Raw Claims Data'!D:D,A14,'2 - Raw Claims Data'!G:G))*(1+$B$8)</f>
        <v>1047599.542</v>
      </c>
      <c r="F14" s="21">
        <f>(SUMIF('2 - Raw Claims Data'!D:D,A14,'2 - Raw Claims Data'!G:G))*(1+$B$9)</f>
        <v>923792.32339999999</v>
      </c>
      <c r="G14" s="33">
        <f t="shared" si="0"/>
        <v>95236.322000000044</v>
      </c>
    </row>
    <row r="15" spans="1:7" x14ac:dyDescent="0.2">
      <c r="A15" s="24" t="s">
        <v>35</v>
      </c>
      <c r="B15" s="25">
        <f>SUMIF('2 - Raw Claims Data'!D:D,A15,'2 - Raw Claims Data'!G:G)</f>
        <v>529834.56000000006</v>
      </c>
      <c r="C15" s="25">
        <f>(SUMIF('2 - Raw Claims Data'!D:D,A15,'2 - Raw Claims Data'!G:G))*(1+$B$6)</f>
        <v>545729.59680000006</v>
      </c>
      <c r="D15" s="25">
        <f>(SUMIF('2 - Raw Claims Data'!D:D,A15,'2 - Raw Claims Data'!G:G))*(1+$B$7)</f>
        <v>556326.28800000006</v>
      </c>
      <c r="E15" s="25">
        <f>(SUMIF('2 - Raw Claims Data'!D:D,A15,'2 - Raw Claims Data'!G:G))*(1+$B$8)</f>
        <v>582818.01600000006</v>
      </c>
      <c r="F15" s="25">
        <f>(SUMIF('2 - Raw Claims Data'!D:D,A15,'2 - Raw Claims Data'!G:G))*(1+$B$9)</f>
        <v>513939.52320000005</v>
      </c>
      <c r="G15" s="33">
        <f t="shared" si="0"/>
        <v>52983.456000000006</v>
      </c>
    </row>
    <row r="16" spans="1:7" x14ac:dyDescent="0.2">
      <c r="A16" s="20" t="s">
        <v>43</v>
      </c>
      <c r="B16" s="21">
        <f>SUMIF('2 - Raw Claims Data'!D:D,A16,'2 - Raw Claims Data'!G:G)</f>
        <v>416245.52</v>
      </c>
      <c r="C16" s="21">
        <f>(SUMIF('2 - Raw Claims Data'!D:D,A16,'2 - Raw Claims Data'!G:G))*(1+$B$6)</f>
        <v>428732.88560000004</v>
      </c>
      <c r="D16" s="21">
        <f>(SUMIF('2 - Raw Claims Data'!D:D,A16,'2 - Raw Claims Data'!G:G))*(1+$B$7)</f>
        <v>437057.79600000003</v>
      </c>
      <c r="E16" s="21">
        <f>(SUMIF('2 - Raw Claims Data'!D:D,A16,'2 - Raw Claims Data'!G:G))*(1+$B$8)</f>
        <v>457870.07200000004</v>
      </c>
      <c r="F16" s="21">
        <f>(SUMIF('2 - Raw Claims Data'!D:D,A16,'2 - Raw Claims Data'!G:G))*(1+$B$9)</f>
        <v>403758.1544</v>
      </c>
      <c r="G16" s="33">
        <f t="shared" si="0"/>
        <v>41624.552000000025</v>
      </c>
    </row>
    <row r="17" spans="1:7" x14ac:dyDescent="0.2">
      <c r="A17" s="24" t="s">
        <v>50</v>
      </c>
      <c r="B17" s="25">
        <f>SUMIF('2 - Raw Claims Data'!D:D,A17,'2 - Raw Claims Data'!G:G)</f>
        <v>194511.38999999993</v>
      </c>
      <c r="C17" s="25">
        <f>(SUMIF('2 - Raw Claims Data'!D:D,A17,'2 - Raw Claims Data'!G:G))*(1+$B$6)</f>
        <v>200346.73169999992</v>
      </c>
      <c r="D17" s="25">
        <f>(SUMIF('2 - Raw Claims Data'!D:D,A17,'2 - Raw Claims Data'!G:G))*(1+$B$7)</f>
        <v>204236.95949999994</v>
      </c>
      <c r="E17" s="25">
        <f>(SUMIF('2 - Raw Claims Data'!D:D,A17,'2 - Raw Claims Data'!G:G))*(1+$B$8)</f>
        <v>213962.52899999992</v>
      </c>
      <c r="F17" s="25">
        <f>(SUMIF('2 - Raw Claims Data'!D:D,A17,'2 - Raw Claims Data'!G:G))*(1+$B$9)</f>
        <v>188676.04829999994</v>
      </c>
      <c r="G17" s="33">
        <f t="shared" si="0"/>
        <v>19451.138999999996</v>
      </c>
    </row>
    <row r="18" spans="1:7" x14ac:dyDescent="0.2">
      <c r="A18" s="20" t="s">
        <v>58</v>
      </c>
      <c r="B18" s="21">
        <f>SUMIF('2 - Raw Claims Data'!D:D,A18,'2 - Raw Claims Data'!G:G)</f>
        <v>124486.49000000003</v>
      </c>
      <c r="C18" s="21">
        <f>(SUMIF('2 - Raw Claims Data'!D:D,A18,'2 - Raw Claims Data'!G:G))*(1+$B$6)</f>
        <v>128221.08470000004</v>
      </c>
      <c r="D18" s="21">
        <f>(SUMIF('2 - Raw Claims Data'!D:D,A18,'2 - Raw Claims Data'!G:G))*(1+$B$7)</f>
        <v>130710.81450000004</v>
      </c>
      <c r="E18" s="21">
        <f>(SUMIF('2 - Raw Claims Data'!D:D,A18,'2 - Raw Claims Data'!G:G))*(1+$B$8)</f>
        <v>136935.13900000005</v>
      </c>
      <c r="F18" s="21">
        <f>(SUMIF('2 - Raw Claims Data'!D:D,A18,'2 - Raw Claims Data'!G:G))*(1+$B$9)</f>
        <v>120751.89530000003</v>
      </c>
      <c r="G18" s="33">
        <f t="shared" si="0"/>
        <v>12448.649000000019</v>
      </c>
    </row>
    <row r="19" spans="1:7" x14ac:dyDescent="0.2">
      <c r="A19" s="24" t="s">
        <v>65</v>
      </c>
      <c r="B19" s="25">
        <f>SUMIF('2 - Raw Claims Data'!D:D,A19,'2 - Raw Claims Data'!G:G)</f>
        <v>660151.44000000006</v>
      </c>
      <c r="C19" s="25">
        <f>(SUMIF('2 - Raw Claims Data'!D:D,A19,'2 - Raw Claims Data'!G:G))*(1+$B$6)</f>
        <v>679955.98320000013</v>
      </c>
      <c r="D19" s="25">
        <f>(SUMIF('2 - Raw Claims Data'!D:D,A19,'2 - Raw Claims Data'!G:G))*(1+$B$7)</f>
        <v>693159.0120000001</v>
      </c>
      <c r="E19" s="25">
        <f>(SUMIF('2 - Raw Claims Data'!D:D,A19,'2 - Raw Claims Data'!G:G))*(1+$B$8)</f>
        <v>726166.58400000015</v>
      </c>
      <c r="F19" s="25">
        <f>(SUMIF('2 - Raw Claims Data'!D:D,A19,'2 - Raw Claims Data'!G:G))*(1+$B$9)</f>
        <v>640346.89679999999</v>
      </c>
      <c r="G19" s="33">
        <f t="shared" si="0"/>
        <v>66015.144000000088</v>
      </c>
    </row>
    <row r="20" spans="1:7" x14ac:dyDescent="0.2">
      <c r="A20" s="14" t="s">
        <v>410</v>
      </c>
      <c r="B20" s="18">
        <f>SUM(B13:B19)</f>
        <v>3708677.18</v>
      </c>
      <c r="C20" s="18">
        <f>SUM(C13:C19)</f>
        <v>3819937.4954000004</v>
      </c>
      <c r="D20" s="18">
        <f>SUM(D13:D19)</f>
        <v>3894111.0390000003</v>
      </c>
      <c r="E20" s="18">
        <f>SUM(E13:E19)</f>
        <v>4079544.8980000005</v>
      </c>
      <c r="F20" s="18">
        <f>SUM(F13:F19)</f>
        <v>3597416.8646</v>
      </c>
      <c r="G20" s="18">
        <f t="shared" si="0"/>
        <v>370867.71800000034</v>
      </c>
    </row>
  </sheetData>
  <mergeCells count="4">
    <mergeCell ref="A1:G1"/>
    <mergeCell ref="A2:G2"/>
    <mergeCell ref="A4:G4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1 - Executive Summary</vt:lpstr>
      <vt:lpstr>2 - Raw Claims Data</vt:lpstr>
      <vt:lpstr>3 - Payer Analysis</vt:lpstr>
      <vt:lpstr>4 - Service Line Analysis</vt:lpstr>
      <vt:lpstr>5 - Scenario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Fuller</dc:creator>
  <cp:keywords/>
  <dc:description/>
  <cp:lastModifiedBy>Kyle Fuller</cp:lastModifiedBy>
  <cp:revision>0</cp:revision>
  <dcterms:created xsi:type="dcterms:W3CDTF">2026-04-19T01:26:05Z</dcterms:created>
  <dcterms:modified xsi:type="dcterms:W3CDTF">2026-04-30T17:03:48Z</dcterms:modified>
  <cp:category/>
  <dc:language>en-US</dc:language>
</cp:coreProperties>
</file>